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il\46379183\Downloads\"/>
    </mc:Choice>
  </mc:AlternateContent>
  <xr:revisionPtr revIDLastSave="0" documentId="8_{E46394A2-BDB3-43D3-A9C6-A6F06A0773FD}" xr6:coauthVersionLast="47" xr6:coauthVersionMax="47" xr10:uidLastSave="{00000000-0000-0000-0000-000000000000}"/>
  <bookViews>
    <workbookView xWindow="-110" yWindow="-110" windowWidth="19420" windowHeight="10300" xr2:uid="{260BC71F-3AC5-4F37-AF9B-E8AF7834269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C23" i="1"/>
  <c r="C27" i="1" s="1"/>
  <c r="B23" i="1"/>
  <c r="H21" i="1"/>
  <c r="M18" i="1"/>
  <c r="M21" i="1" s="1"/>
  <c r="L18" i="1"/>
  <c r="L21" i="1" s="1"/>
  <c r="K18" i="1"/>
  <c r="K21" i="1" s="1"/>
  <c r="J18" i="1"/>
  <c r="J21" i="1" s="1"/>
  <c r="I18" i="1"/>
  <c r="I21" i="1" s="1"/>
  <c r="H18" i="1"/>
  <c r="G18" i="1"/>
  <c r="G21" i="1" s="1"/>
  <c r="F18" i="1"/>
  <c r="F21" i="1" s="1"/>
  <c r="E18" i="1"/>
  <c r="E21" i="1" s="1"/>
  <c r="D18" i="1"/>
  <c r="D21" i="1" s="1"/>
  <c r="C18" i="1"/>
  <c r="C21" i="1" s="1"/>
  <c r="B18" i="1"/>
  <c r="B21" i="1" s="1"/>
  <c r="N17" i="1"/>
  <c r="N16" i="1"/>
  <c r="N15" i="1"/>
  <c r="N14" i="1"/>
  <c r="N13" i="1"/>
  <c r="N18" i="1" s="1"/>
  <c r="N21" i="1" s="1"/>
  <c r="N12" i="1"/>
  <c r="M9" i="1"/>
  <c r="L9" i="1"/>
  <c r="K9" i="1"/>
  <c r="J9" i="1"/>
  <c r="I9" i="1"/>
  <c r="H9" i="1"/>
  <c r="G9" i="1"/>
  <c r="F9" i="1"/>
  <c r="E9" i="1"/>
  <c r="D9" i="1"/>
  <c r="C9" i="1"/>
  <c r="B9" i="1"/>
  <c r="N7" i="1"/>
  <c r="N6" i="1"/>
  <c r="N5" i="1"/>
  <c r="N4" i="1"/>
  <c r="N3" i="1"/>
  <c r="N2" i="1"/>
  <c r="N9" i="1" s="1"/>
  <c r="D27" i="1" l="1"/>
  <c r="B27" i="1"/>
  <c r="B25" i="1"/>
  <c r="C25" i="1"/>
  <c r="D25" i="1"/>
</calcChain>
</file>

<file path=xl/sharedStrings.xml><?xml version="1.0" encoding="utf-8"?>
<sst xmlns="http://schemas.openxmlformats.org/spreadsheetml/2006/main" count="47" uniqueCount="31">
  <si>
    <t>Ppto 2026  Digital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</si>
  <si>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</si>
  <si>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</si>
  <si>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</si>
  <si>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</si>
  <si>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</si>
  <si>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</si>
  <si>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</si>
  <si>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</si>
  <si>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</si>
  <si>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</si>
  <si>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</si>
  <si>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</si>
  <si>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</si>
  <si>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Programática Portal (CMI)</t>
  </si>
  <si>
    <t>MGID</t>
  </si>
  <si>
    <t>Notsy BS (membrana digital)</t>
  </si>
  <si>
    <t>meta (facebook)</t>
  </si>
  <si>
    <t>Showcase google (mes cooriente)</t>
  </si>
  <si>
    <t>youtube (pauta ccial redes sociales)</t>
  </si>
  <si>
    <t>Adsense</t>
  </si>
  <si>
    <t>Ppto 2026 Portal Digital</t>
  </si>
  <si>
    <t>Deals Alianzas (colombiano - rcn- el tiempo)</t>
  </si>
  <si>
    <t>dv360 (pauta comercial progrmática)</t>
  </si>
  <si>
    <t>Google ads</t>
  </si>
  <si>
    <t>meta - x- tik tok  (venta equipo comercial)</t>
  </si>
  <si>
    <t>Programática (DEALS CON AGENCIAS)</t>
  </si>
  <si>
    <t>Venta directa (CONTENIDO - PAUTA PORTAL RED + EQUIPO COMERCIAL)</t>
  </si>
  <si>
    <t xml:space="preserve">Total Ppto mes </t>
  </si>
  <si>
    <t>Cumplimiento 2026</t>
  </si>
  <si>
    <t xml:space="preserve">Cumplimiento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</si>
</sst>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0" fillId="3" borderId="0" xfId="0" applyFill="1" applyAlignment="1">
      <alignment horizontal="left" indent="1"/>
    </xf>
    <xf numFmtId="42" fontId="0" fillId="0" borderId="0" xfId="0" applyNumberFormat="1"/>
    <xf numFmtId="165" fontId="0" fillId="0" borderId="0" xfId="2" applyNumberFormat="1" applyFont="1"/>
    <xf numFmtId="0" fontId="0" fillId="4" borderId="0" xfId="0" applyFill="1" applyAlignment="1">
      <alignment horizontal="left" indent="1"/>
    </xf>
    <xf numFmtId="42" fontId="0" fillId="4" borderId="0" xfId="0" applyNumberFormat="1" applyFill="1"/>
    <xf numFmtId="165" fontId="0" fillId="4" borderId="0" xfId="2" applyNumberFormat="1" applyFont="1" applyFill="1"/>
    <xf numFmtId="0" fontId="2" fillId="2" borderId="0" xfId="0" applyFont="1" applyFill="1" applyAlignment="1">
      <alignment horizontal="left" indent="1"/>
    </xf>
    <xf numFmtId="42" fontId="2" fillId="2" borderId="0" xfId="0" applyNumberFormat="1" applyFont="1" applyFill="1"/>
    <xf numFmtId="0" fontId="0" fillId="2" borderId="0" xfId="0" applyFill="1"/>
    <xf numFmtId="9" fontId="2" fillId="2" borderId="0" xfId="1" applyFont="1" applyFill="1"/>
    <xf numFmtId="42" fontId="2" fillId="2" borderId="0" xfId="1" applyNumberFormat="1" applyFont="1" applyFill="1"/>
  </cellXfs>
  <cellStyles count="3">
    <cellStyle name="Millares 2" xfId="2" xr:uid="{5BC412A4-8AB9-4671-A7C7-34553E29E9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aromovilco-my.sharepoint.com/personal/46379183_claro_com_co/Documents/Documentos/Portal/PPTO%20Digital%202026.xlsx" TargetMode="External"/><Relationship Id="rId1" Type="http://schemas.openxmlformats.org/officeDocument/2006/relationships/externalLinkPath" Target="https://claromovilco-my.sharepoint.com/personal/46379183_claro_com_co/Documents/Documentos/Portal/PPTO%20Digita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To digital total "/>
      <sheetName val="Ingreso Portal "/>
      <sheetName val="PPto digital "/>
      <sheetName val="Ingreso Youtube "/>
    </sheetNames>
    <sheetDataSet>
      <sheetData sheetId="0"/>
      <sheetData sheetId="1">
        <row r="19">
          <cell r="B19">
            <v>340442939</v>
          </cell>
          <cell r="C19">
            <v>260076858</v>
          </cell>
          <cell r="D19">
            <v>283044757</v>
          </cell>
        </row>
      </sheetData>
      <sheetData sheetId="2">
        <row r="18">
          <cell r="B18">
            <v>628355440</v>
          </cell>
          <cell r="C18">
            <v>680513514</v>
          </cell>
          <cell r="D18">
            <v>363551709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CAC8-17E9-4097-A1A3-8E005B055051}">
  <dimension ref="A1:N27"/>
  <sheetViews>
    <sheetView tabSelected="1" workbookViewId="0">
      <selection sqref="A1:XFD1048576"/>
    </sheetView>
  </sheetViews>
  <sheetFormatPr baseColWidth="10" defaultRowHeight="14.5" x14ac:dyDescent="0.35"/>
  <cols>
    <col min="1" max="1" width="64.54296875" customWidth="1"/>
    <col min="2" max="2" width="18.54296875" customWidth="1"/>
    <col min="3" max="3" width="17.36328125" customWidth="1"/>
    <col min="4" max="4" width="19.08984375" customWidth="1"/>
    <col min="5" max="5" width="18.453125" customWidth="1"/>
    <col min="6" max="6" width="15.26953125" customWidth="1"/>
    <col min="7" max="7" width="17.453125" customWidth="1"/>
    <col min="8" max="8" width="15.7265625" customWidth="1"/>
    <col min="9" max="9" width="16.26953125" customWidth="1"/>
    <col min="10" max="10" width="17.36328125" customWidth="1"/>
    <col min="11" max="11" width="18.54296875" customWidth="1"/>
    <col min="12" max="12" width="19.453125" customWidth="1"/>
    <col min="13" max="13" width="18.453125" customWidth="1"/>
    <col min="14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182030000</v>
      </c>
      <c r="C2" s="3">
        <v>164000458</v>
      </c>
      <c r="D2" s="3">
        <v>188710000</v>
      </c>
      <c r="E2" s="3">
        <v>184371907</v>
      </c>
      <c r="F2" s="3">
        <v>151970000</v>
      </c>
      <c r="G2" s="3">
        <v>166865939</v>
      </c>
      <c r="H2" s="3">
        <v>200040000</v>
      </c>
      <c r="I2" s="3">
        <v>544470401</v>
      </c>
      <c r="J2" s="3">
        <v>553655401</v>
      </c>
      <c r="K2" s="3">
        <v>590395401</v>
      </c>
      <c r="L2" s="3">
        <v>590395401</v>
      </c>
      <c r="M2" s="3">
        <v>558665401</v>
      </c>
      <c r="N2" s="4">
        <f>SUM(B2:M2)</f>
        <v>4075570309</v>
      </c>
    </row>
    <row r="3" spans="1:14" x14ac:dyDescent="0.35">
      <c r="A3" s="2" t="s">
        <v>15</v>
      </c>
      <c r="B3" s="3">
        <v>71808595</v>
      </c>
      <c r="C3" s="3">
        <v>29843915</v>
      </c>
      <c r="D3" s="3">
        <v>28390000</v>
      </c>
      <c r="E3" s="3">
        <v>33797007</v>
      </c>
      <c r="F3" s="3">
        <v>40080000</v>
      </c>
      <c r="G3" s="3">
        <v>65245789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4">
        <f t="shared" ref="N3:N7" si="0">SUM(B3:M3)</f>
        <v>269165306</v>
      </c>
    </row>
    <row r="4" spans="1:14" x14ac:dyDescent="0.35">
      <c r="A4" s="2" t="s">
        <v>16</v>
      </c>
      <c r="B4" s="3">
        <v>1928816</v>
      </c>
      <c r="C4" s="3">
        <v>0</v>
      </c>
      <c r="D4" s="3">
        <v>0</v>
      </c>
      <c r="E4" s="3">
        <v>12525000</v>
      </c>
      <c r="F4" s="3">
        <v>8035000</v>
      </c>
      <c r="G4" s="3">
        <v>5010000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4">
        <f t="shared" si="0"/>
        <v>27498816</v>
      </c>
    </row>
    <row r="5" spans="1:14" x14ac:dyDescent="0.35">
      <c r="A5" s="2" t="s">
        <v>17</v>
      </c>
      <c r="B5" s="3">
        <v>1336000</v>
      </c>
      <c r="C5" s="3">
        <v>2505000</v>
      </c>
      <c r="D5" s="3">
        <v>2004000</v>
      </c>
      <c r="E5" s="3">
        <v>2004000</v>
      </c>
      <c r="F5" s="3">
        <v>1625167</v>
      </c>
      <c r="G5" s="3">
        <v>5010000</v>
      </c>
      <c r="H5" s="3">
        <v>7097500</v>
      </c>
      <c r="I5" s="3">
        <v>9126490</v>
      </c>
      <c r="J5" s="3">
        <v>9126490</v>
      </c>
      <c r="K5" s="3">
        <v>9126490</v>
      </c>
      <c r="L5" s="3">
        <v>9126490</v>
      </c>
      <c r="M5" s="3">
        <v>9126490</v>
      </c>
      <c r="N5" s="4">
        <f t="shared" si="0"/>
        <v>67214117</v>
      </c>
    </row>
    <row r="6" spans="1:14" x14ac:dyDescent="0.35">
      <c r="A6" s="5" t="s">
        <v>18</v>
      </c>
      <c r="B6" s="6">
        <v>9055887</v>
      </c>
      <c r="C6" s="6">
        <v>8614152</v>
      </c>
      <c r="D6" s="6">
        <v>8688091</v>
      </c>
      <c r="E6" s="6">
        <v>8923164</v>
      </c>
      <c r="F6" s="6">
        <v>8703767</v>
      </c>
      <c r="G6" s="6">
        <v>8490280</v>
      </c>
      <c r="H6" s="6">
        <v>3340000</v>
      </c>
      <c r="I6" s="6">
        <v>13274712</v>
      </c>
      <c r="J6" s="6">
        <v>13274712</v>
      </c>
      <c r="K6" s="6">
        <v>13274712</v>
      </c>
      <c r="L6" s="6">
        <v>13274712</v>
      </c>
      <c r="M6" s="6">
        <v>13274712</v>
      </c>
      <c r="N6" s="7">
        <f t="shared" si="0"/>
        <v>122188901</v>
      </c>
    </row>
    <row r="7" spans="1:14" x14ac:dyDescent="0.35">
      <c r="A7" s="2" t="s">
        <v>19</v>
      </c>
      <c r="B7" s="3">
        <v>0</v>
      </c>
      <c r="C7" s="3">
        <v>12859000</v>
      </c>
      <c r="D7" s="3">
        <v>8350000</v>
      </c>
      <c r="E7" s="3">
        <v>25050000</v>
      </c>
      <c r="F7" s="3">
        <v>7515000</v>
      </c>
      <c r="G7" s="3">
        <v>30617780</v>
      </c>
      <c r="H7" s="3">
        <v>0</v>
      </c>
      <c r="I7" s="3">
        <v>13085586</v>
      </c>
      <c r="J7" s="3">
        <v>31789586</v>
      </c>
      <c r="K7" s="3">
        <v>31789586</v>
      </c>
      <c r="L7" s="3">
        <v>43479586</v>
      </c>
      <c r="M7" s="3">
        <v>31789586</v>
      </c>
      <c r="N7" s="4">
        <f t="shared" si="0"/>
        <v>236325710</v>
      </c>
    </row>
    <row r="8" spans="1:14" x14ac:dyDescent="0.35">
      <c r="A8" s="2" t="s">
        <v>20</v>
      </c>
      <c r="B8" s="3">
        <v>66965223</v>
      </c>
      <c r="C8" s="3">
        <v>28037366</v>
      </c>
      <c r="D8" s="3">
        <v>16700000</v>
      </c>
      <c r="E8" s="3">
        <v>69804831</v>
      </c>
      <c r="F8" s="3">
        <v>41768370</v>
      </c>
      <c r="G8" s="3">
        <v>98817191</v>
      </c>
      <c r="H8" s="3">
        <v>41750000</v>
      </c>
      <c r="I8" s="3">
        <v>29871357</v>
      </c>
      <c r="J8" s="3">
        <v>29871357</v>
      </c>
      <c r="K8" s="3">
        <v>29871357</v>
      </c>
      <c r="L8" s="3">
        <v>29871357</v>
      </c>
      <c r="M8" s="3">
        <v>29871357</v>
      </c>
      <c r="N8" s="4">
        <v>513199766</v>
      </c>
    </row>
    <row r="9" spans="1:14" x14ac:dyDescent="0.35">
      <c r="A9" s="8" t="s">
        <v>13</v>
      </c>
      <c r="B9" s="9">
        <f>SUM(B2:B8)</f>
        <v>333124521</v>
      </c>
      <c r="C9" s="9">
        <f t="shared" ref="C9:N9" si="1">SUM(C2:C8)</f>
        <v>245859891</v>
      </c>
      <c r="D9" s="9">
        <f t="shared" si="1"/>
        <v>252842091</v>
      </c>
      <c r="E9" s="9">
        <f t="shared" si="1"/>
        <v>336475909</v>
      </c>
      <c r="F9" s="9">
        <f t="shared" si="1"/>
        <v>259697304</v>
      </c>
      <c r="G9" s="9">
        <f t="shared" si="1"/>
        <v>380056979</v>
      </c>
      <c r="H9" s="9">
        <f t="shared" si="1"/>
        <v>252227500</v>
      </c>
      <c r="I9" s="9">
        <f t="shared" si="1"/>
        <v>609828546</v>
      </c>
      <c r="J9" s="9">
        <f t="shared" si="1"/>
        <v>637717546</v>
      </c>
      <c r="K9" s="9">
        <f t="shared" si="1"/>
        <v>674457546</v>
      </c>
      <c r="L9" s="9">
        <f t="shared" si="1"/>
        <v>686147546</v>
      </c>
      <c r="M9" s="9">
        <f t="shared" si="1"/>
        <v>642727546</v>
      </c>
      <c r="N9" s="9">
        <f t="shared" si="1"/>
        <v>5311162925</v>
      </c>
    </row>
    <row r="11" spans="1:14" x14ac:dyDescent="0.35">
      <c r="A11" s="1" t="s">
        <v>21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</row>
    <row r="12" spans="1:14" x14ac:dyDescent="0.35">
      <c r="A12" s="5" t="s">
        <v>22</v>
      </c>
      <c r="B12" s="3">
        <v>5494392.9760418469</v>
      </c>
      <c r="C12" s="3">
        <v>4667003.174050766</v>
      </c>
      <c r="D12" s="3">
        <v>7788389.4737324426</v>
      </c>
      <c r="E12" s="3">
        <v>0</v>
      </c>
      <c r="F12" s="3">
        <v>7553866.097219184</v>
      </c>
      <c r="G12" s="3">
        <v>0</v>
      </c>
      <c r="H12" s="3">
        <v>13260328.345436847</v>
      </c>
      <c r="I12" s="3">
        <v>2657025.9001867883</v>
      </c>
      <c r="J12" s="3">
        <v>2711638.3082365235</v>
      </c>
      <c r="K12" s="3">
        <v>2716470.3274628306</v>
      </c>
      <c r="L12" s="3">
        <v>3032120.2527537774</v>
      </c>
      <c r="M12" s="3">
        <v>3114071.2208963437</v>
      </c>
      <c r="N12" s="4">
        <f>SUM(B12:M12)</f>
        <v>52995306.07601735</v>
      </c>
    </row>
    <row r="13" spans="1:14" x14ac:dyDescent="0.35">
      <c r="A13" s="2" t="s">
        <v>23</v>
      </c>
      <c r="B13" s="3">
        <v>617723922.84092546</v>
      </c>
      <c r="C13" s="3">
        <v>752105113.70010006</v>
      </c>
      <c r="D13" s="3">
        <v>1031606652.8876542</v>
      </c>
      <c r="E13" s="3">
        <v>1050946590.2250308</v>
      </c>
      <c r="F13" s="3">
        <v>1017885186.8706608</v>
      </c>
      <c r="G13" s="3">
        <v>1037724532.9140236</v>
      </c>
      <c r="H13" s="3">
        <v>1213154107.1512392</v>
      </c>
      <c r="I13" s="3">
        <v>976479483.25363147</v>
      </c>
      <c r="J13" s="3">
        <v>965801933.47081399</v>
      </c>
      <c r="K13" s="3">
        <v>1154738793.521765</v>
      </c>
      <c r="L13" s="3">
        <v>1061898860.897473</v>
      </c>
      <c r="M13" s="3">
        <v>953855974.27268481</v>
      </c>
      <c r="N13" s="4">
        <f t="shared" ref="N13:N17" si="2">SUM(B13:M13)</f>
        <v>11833921152.006002</v>
      </c>
    </row>
    <row r="14" spans="1:14" x14ac:dyDescent="0.35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4">
        <f t="shared" si="2"/>
        <v>0</v>
      </c>
    </row>
    <row r="15" spans="1:14" x14ac:dyDescent="0.35">
      <c r="A15" s="2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29555498.308452524</v>
      </c>
      <c r="J15" s="3">
        <v>30162980.882717602</v>
      </c>
      <c r="K15" s="3">
        <v>49400100.761212699</v>
      </c>
      <c r="L15" s="3">
        <v>76552771.798822135</v>
      </c>
      <c r="M15" s="3">
        <v>47830398.58752653</v>
      </c>
      <c r="N15" s="4">
        <f t="shared" si="2"/>
        <v>233501750.3387315</v>
      </c>
    </row>
    <row r="16" spans="1:14" x14ac:dyDescent="0.35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4">
        <f t="shared" si="2"/>
        <v>0</v>
      </c>
    </row>
    <row r="17" spans="1:14" x14ac:dyDescent="0.35">
      <c r="A17" s="2" t="s">
        <v>27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214427043.63187808</v>
      </c>
      <c r="J17" s="3">
        <v>218834368.83066487</v>
      </c>
      <c r="K17" s="3">
        <v>219224321.97240752</v>
      </c>
      <c r="L17" s="3">
        <v>244697871.28858197</v>
      </c>
      <c r="M17" s="3">
        <v>252755577.71348238</v>
      </c>
      <c r="N17" s="4">
        <f t="shared" si="2"/>
        <v>1149939183.4370148</v>
      </c>
    </row>
    <row r="18" spans="1:14" x14ac:dyDescent="0.35">
      <c r="A18" s="1" t="s">
        <v>13</v>
      </c>
      <c r="B18" s="9">
        <f>SUM(B12:B17)</f>
        <v>623218315.81696725</v>
      </c>
      <c r="C18" s="9">
        <f t="shared" ref="C18:N18" si="3">SUM(C12:C17)</f>
        <v>756772116.87415087</v>
      </c>
      <c r="D18" s="9">
        <f t="shared" si="3"/>
        <v>1039395042.3613867</v>
      </c>
      <c r="E18" s="9">
        <f t="shared" si="3"/>
        <v>1050946590.2250308</v>
      </c>
      <c r="F18" s="9">
        <f t="shared" si="3"/>
        <v>1025439052.96788</v>
      </c>
      <c r="G18" s="9">
        <f t="shared" si="3"/>
        <v>1037724532.9140236</v>
      </c>
      <c r="H18" s="9">
        <f t="shared" si="3"/>
        <v>1226414435.496676</v>
      </c>
      <c r="I18" s="9">
        <f t="shared" si="3"/>
        <v>1223119051.0941489</v>
      </c>
      <c r="J18" s="9">
        <f t="shared" si="3"/>
        <v>1217510921.4924331</v>
      </c>
      <c r="K18" s="9">
        <f t="shared" si="3"/>
        <v>1426079686.5828481</v>
      </c>
      <c r="L18" s="9">
        <f t="shared" si="3"/>
        <v>1386181624.2376308</v>
      </c>
      <c r="M18" s="9">
        <f t="shared" si="3"/>
        <v>1257556021.79459</v>
      </c>
      <c r="N18" s="9">
        <f t="shared" si="3"/>
        <v>13270357391.857767</v>
      </c>
    </row>
    <row r="21" spans="1:14" x14ac:dyDescent="0.35">
      <c r="A21" s="1" t="s">
        <v>28</v>
      </c>
      <c r="B21" s="9">
        <f>B18+B9</f>
        <v>956342836.81696725</v>
      </c>
      <c r="C21" s="9">
        <f t="shared" ref="C21:N21" si="4">C18+C9</f>
        <v>1002632007.8741509</v>
      </c>
      <c r="D21" s="9">
        <f t="shared" si="4"/>
        <v>1292237133.3613868</v>
      </c>
      <c r="E21" s="9">
        <f t="shared" si="4"/>
        <v>1387422499.2250309</v>
      </c>
      <c r="F21" s="9">
        <f t="shared" si="4"/>
        <v>1285136356.96788</v>
      </c>
      <c r="G21" s="9">
        <f t="shared" si="4"/>
        <v>1417781511.9140236</v>
      </c>
      <c r="H21" s="9">
        <f t="shared" si="4"/>
        <v>1478641935.496676</v>
      </c>
      <c r="I21" s="9">
        <f t="shared" si="4"/>
        <v>1832947597.0941489</v>
      </c>
      <c r="J21" s="9">
        <f t="shared" si="4"/>
        <v>1855228467.4924331</v>
      </c>
      <c r="K21" s="9">
        <f t="shared" si="4"/>
        <v>2100537232.5828481</v>
      </c>
      <c r="L21" s="9">
        <f t="shared" si="4"/>
        <v>2072329170.2376308</v>
      </c>
      <c r="M21" s="9">
        <f t="shared" si="4"/>
        <v>1900283567.79459</v>
      </c>
      <c r="N21" s="9">
        <f t="shared" si="4"/>
        <v>18581520316.857765</v>
      </c>
    </row>
    <row r="23" spans="1:14" x14ac:dyDescent="0.35">
      <c r="A23" s="1" t="s">
        <v>29</v>
      </c>
      <c r="B23" s="9">
        <f>'[1]Ingreso Portal '!B19+'[1]PPto digital '!B18</f>
        <v>968798379</v>
      </c>
      <c r="C23" s="9">
        <f>'[1]Ingreso Portal '!C19+'[1]PPto digital '!C18</f>
        <v>940590372</v>
      </c>
      <c r="D23" s="9">
        <f>'[1]Ingreso Portal '!D19+'[1]PPto digital '!D18</f>
        <v>646596466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5" spans="1:14" x14ac:dyDescent="0.35">
      <c r="A25" s="1" t="s">
        <v>30</v>
      </c>
      <c r="B25" s="11">
        <f>B23/B21</f>
        <v>1.0130241391512786</v>
      </c>
      <c r="C25" s="11">
        <f t="shared" ref="C25:D25" si="5">C23/C21</f>
        <v>0.93812122953695065</v>
      </c>
      <c r="D25" s="11">
        <f t="shared" si="5"/>
        <v>0.50036982323674872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1:14" x14ac:dyDescent="0.35">
      <c r="A27" s="1" t="s">
        <v>30</v>
      </c>
      <c r="B27" s="12">
        <f>B23-B21</f>
        <v>12455542.183032751</v>
      </c>
      <c r="C27" s="12">
        <f t="shared" ref="C27:D27" si="6">C23-C21</f>
        <v>-62041635.874150872</v>
      </c>
      <c r="D27" s="12">
        <f t="shared" si="6"/>
        <v>-645640667.36138678</v>
      </c>
      <c r="E27" s="1"/>
      <c r="F27" s="1"/>
      <c r="G27" s="1"/>
      <c r="H27" s="1"/>
      <c r="I27" s="1"/>
      <c r="J27" s="1"/>
      <c r="K27" s="1"/>
      <c r="L27" s="1"/>
      <c r="M27" s="1"/>
      <c r="N27" s="1"/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Arrieta Daza</dc:creator>
  <cp:lastModifiedBy>Julian David Arrieta Daza</cp:lastModifiedBy>
  <dcterms:created xsi:type="dcterms:W3CDTF">2026-04-20T14:49:53Z</dcterms:created>
  <dcterms:modified xsi:type="dcterms:W3CDTF">2026-04-20T14:50:08Z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2026-04-20T14:50:04Z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83b82085-ee64-4625-b3b7-602939982faf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