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  <sheet name="Datos" sheetId="2" r:id="rId5"/>
    <sheet name="Precio" sheetId="3" r:id="rId6"/>
  </sheets>
</workbook>
</file>

<file path=xl/sharedStrings.xml><?xml version="1.0" encoding="utf-8"?>
<sst xmlns="http://schemas.openxmlformats.org/spreadsheetml/2006/main" uniqueCount="55">
  <si>
    <t>MES</t>
  </si>
  <si>
    <t>PLATAFORMA</t>
  </si>
  <si>
    <t>RED+ TV</t>
  </si>
  <si>
    <t>RED+NOTICIAS</t>
  </si>
  <si>
    <t>15 MINUTOS</t>
  </si>
  <si>
    <t>RADIOLATV</t>
  </si>
  <si>
    <t>TOTAL BRUTO</t>
  </si>
  <si>
    <t>RETENCION</t>
  </si>
  <si>
    <t>TOTAL NETO</t>
  </si>
  <si>
    <t>2024-01</t>
  </si>
  <si>
    <t>YOUTUBE</t>
  </si>
  <si>
    <t>KNOT</t>
  </si>
  <si>
    <t>2024-02</t>
  </si>
  <si>
    <t>2024-03</t>
  </si>
  <si>
    <t>DIRECTO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</si>
  <si>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</si>
  <si>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</si>
  <si>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</si>
  <si>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</si>
  <si>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</si>
  <si>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</si>
  <si>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</si>
  <si>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</si>
  <si>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</si>
  <si>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</si>
  <si>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 xml:space="preserve">Tráfico EEUU - Subio ECPM % usd / 50% del trafico YT fue EEUU - contenido 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</si>
  <si>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</si>
  <si>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</si>
  <si>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</si>
  <si>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</si>
  <si>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</si>
  <si>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</si>
  <si>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</si>
  <si>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</si>
  <si>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</si>
  <si>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</si>
  <si>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</si>
  <si>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</si>
  <si>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</si>
  <si>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</si>
  <si>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</si>
  <si>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</si>
  <si>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</si>
  <si>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</si>
  <si>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</si>
  <si>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</si>
  <si>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</si>
  <si>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</si>
  <si>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</si>
  <si>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RED+TV</t>
  </si>
  <si>
    <t>LA TELE LETAL</t>
  </si>
  <si>
    <t>RADIOLA TV</t>
  </si>
  <si>
    <t>FACEBOOK</t>
  </si>
  <si>
    <t>TOTAL</t>
  </si>
  <si>
    <t>Precio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</si>
</sst>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#,##0.00%"/>
    <numFmt numFmtId="60" formatCode="#,##0%"/>
    <numFmt numFmtId="61" formatCode="#,##0.0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ptos Narrow"/>
    </font>
    <font>
      <sz val="10"/>
      <color indexed="12"/>
      <name val="Aptos Narrow"/>
    </font>
    <font>
      <sz val="11"/>
      <color indexed="8"/>
      <name val="Aptos Narrow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</fills>
  <borders count="2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8"/>
      </bottom>
      <diagonal/>
    </border>
    <border>
      <left style="thin">
        <color indexed="8"/>
      </left>
      <right style="thin">
        <color indexed="20"/>
      </right>
      <top style="thin">
        <color indexed="8"/>
      </top>
      <bottom style="thin">
        <color indexed="20"/>
      </bottom>
      <diagonal/>
    </border>
    <border>
      <left style="thin">
        <color indexed="20"/>
      </left>
      <right style="thin">
        <color indexed="8"/>
      </right>
      <top style="thin">
        <color indexed="8"/>
      </top>
      <bottom style="thin">
        <color indexed="20"/>
      </bottom>
      <diagonal/>
    </border>
    <border>
      <left style="thin">
        <color indexed="8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8"/>
      </right>
      <top style="thin">
        <color indexed="20"/>
      </top>
      <bottom style="thin">
        <color indexed="2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21"/>
      </bottom>
      <diagonal/>
    </border>
    <border>
      <left style="thin">
        <color indexed="18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8"/>
      </left>
      <right style="thin">
        <color indexed="18"/>
      </right>
      <top style="thin">
        <color indexed="21"/>
      </top>
      <bottom style="thin">
        <color indexed="18"/>
      </bottom>
      <diagonal/>
    </border>
    <border>
      <left style="thin">
        <color indexed="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horizontal="left" vertical="bottom"/>
    </xf>
    <xf numFmtId="4" fontId="0" fillId="2" borderId="2" applyNumberFormat="1" applyFont="1" applyFill="1" applyBorder="1" applyAlignment="1" applyProtection="0">
      <alignment horizontal="left" vertical="bottom"/>
    </xf>
    <xf numFmtId="3" fontId="0" fillId="2" borderId="2" applyNumberFormat="1" applyFont="1" applyFill="1" applyBorder="1" applyAlignment="1" applyProtection="0">
      <alignment horizontal="left" vertical="bottom"/>
    </xf>
    <xf numFmtId="3" fontId="0" fillId="2" borderId="1" applyNumberFormat="1" applyFont="1" applyFill="1" applyBorder="1" applyAlignment="1" applyProtection="0">
      <alignment horizontal="left" vertical="bottom"/>
    </xf>
    <xf numFmtId="59" fontId="0" fillId="2" borderId="1" applyNumberFormat="1" applyFont="1" applyFill="1" applyBorder="1" applyAlignment="1" applyProtection="0">
      <alignment horizontal="left" vertical="bottom"/>
    </xf>
    <xf numFmtId="0" fontId="0" fillId="2" borderId="3" applyNumberFormat="0" applyFont="1" applyFill="1" applyBorder="1" applyAlignment="1" applyProtection="0">
      <alignment horizontal="left" vertical="bottom"/>
    </xf>
    <xf numFmtId="49" fontId="3" fillId="3" borderId="4" applyNumberFormat="1" applyFont="1" applyFill="1" applyBorder="1" applyAlignment="1" applyProtection="0">
      <alignment horizontal="center" vertical="bottom"/>
    </xf>
    <xf numFmtId="49" fontId="3" fillId="2" borderId="4" applyNumberFormat="1" applyFont="1" applyFill="1" applyBorder="1" applyAlignment="1" applyProtection="0">
      <alignment horizontal="center" vertical="bottom"/>
    </xf>
    <xf numFmtId="3" fontId="0" fillId="2" borderId="5" applyNumberFormat="1" applyFont="1" applyFill="1" applyBorder="1" applyAlignment="1" applyProtection="0">
      <alignment horizontal="left" vertical="bottom"/>
    </xf>
    <xf numFmtId="59" fontId="3" fillId="2" borderId="1" applyNumberFormat="1" applyFont="1" applyFill="1" applyBorder="1" applyAlignment="1" applyProtection="0">
      <alignment horizontal="left" vertical="bottom"/>
    </xf>
    <xf numFmtId="0" fontId="3" fillId="2" borderId="1" applyNumberFormat="0" applyFont="1" applyFill="1" applyBorder="1" applyAlignment="1" applyProtection="0">
      <alignment horizontal="left" vertical="bottom"/>
    </xf>
    <xf numFmtId="49" fontId="3" fillId="2" borderId="4" applyNumberFormat="1" applyFont="1" applyFill="1" applyBorder="1" applyAlignment="1" applyProtection="0">
      <alignment horizontal="left" vertical="bottom"/>
    </xf>
    <xf numFmtId="4" fontId="0" fillId="2" borderId="4" applyNumberFormat="1" applyFont="1" applyFill="1" applyBorder="1" applyAlignment="1" applyProtection="0">
      <alignment vertical="bottom"/>
    </xf>
    <xf numFmtId="4" fontId="0" fillId="2" borderId="4" applyNumberFormat="1" applyFont="1" applyFill="1" applyBorder="1" applyAlignment="1" applyProtection="0">
      <alignment horizontal="right" vertical="bottom"/>
    </xf>
    <xf numFmtId="3" fontId="0" fillId="2" borderId="4" applyNumberFormat="1" applyFont="1" applyFill="1" applyBorder="1" applyAlignment="1" applyProtection="0">
      <alignment horizontal="right" vertical="bottom"/>
    </xf>
    <xf numFmtId="60" fontId="0" fillId="2" borderId="6" applyNumberFormat="1" applyFont="1" applyFill="1" applyBorder="1" applyAlignment="1" applyProtection="0">
      <alignment horizontal="right" vertical="bottom"/>
    </xf>
    <xf numFmtId="49" fontId="0" fillId="2" borderId="1" applyNumberFormat="1" applyFont="1" applyFill="1" applyBorder="1" applyAlignment="1" applyProtection="0">
      <alignment horizontal="left" vertical="bottom"/>
    </xf>
    <xf numFmtId="3" fontId="0" fillId="2" borderId="1" applyNumberFormat="1" applyFont="1" applyFill="1" applyBorder="1" applyAlignment="1" applyProtection="0">
      <alignment horizontal="right" vertical="bottom"/>
    </xf>
    <xf numFmtId="3" fontId="3" fillId="2" borderId="1" applyNumberFormat="1" applyFont="1" applyFill="1" applyBorder="1" applyAlignment="1" applyProtection="0">
      <alignment horizontal="right" vertical="bottom"/>
    </xf>
    <xf numFmtId="0" fontId="3" fillId="2" borderId="4" applyNumberFormat="0" applyFont="1" applyFill="1" applyBorder="1" applyAlignment="1" applyProtection="0">
      <alignment horizontal="left" vertical="bottom"/>
    </xf>
    <xf numFmtId="3" fontId="0" fillId="2" borderId="4" applyNumberFormat="1" applyFont="1" applyFill="1" applyBorder="1" applyAlignment="1" applyProtection="0">
      <alignment vertical="bottom"/>
    </xf>
    <xf numFmtId="3" fontId="0" fillId="2" borderId="4" applyNumberFormat="1" applyFont="1" applyFill="1" applyBorder="1" applyAlignment="1" applyProtection="0">
      <alignment horizontal="left" vertical="bottom"/>
    </xf>
    <xf numFmtId="59" fontId="0" fillId="2" borderId="6" applyNumberFormat="1" applyFont="1" applyFill="1" applyBorder="1" applyAlignment="1" applyProtection="0">
      <alignment horizontal="left" vertical="bottom"/>
    </xf>
    <xf numFmtId="0" fontId="3" fillId="2" borderId="7" applyNumberFormat="0" applyFont="1" applyFill="1" applyBorder="1" applyAlignment="1" applyProtection="0">
      <alignment horizontal="left" vertical="bottom"/>
    </xf>
    <xf numFmtId="0" fontId="3" fillId="2" borderId="7" applyNumberFormat="0" applyFont="1" applyFill="1" applyBorder="1" applyAlignment="1" applyProtection="0">
      <alignment horizontal="center" vertical="bottom"/>
    </xf>
    <xf numFmtId="3" fontId="0" fillId="2" borderId="8" applyNumberFormat="1" applyFont="1" applyFill="1" applyBorder="1" applyAlignment="1" applyProtection="0">
      <alignment vertical="bottom"/>
    </xf>
    <xf numFmtId="4" fontId="0" fillId="2" borderId="8" applyNumberFormat="1" applyFont="1" applyFill="1" applyBorder="1" applyAlignment="1" applyProtection="0">
      <alignment vertical="bottom"/>
    </xf>
    <xf numFmtId="4" fontId="0" fillId="2" borderId="8" applyNumberFormat="1" applyFont="1" applyFill="1" applyBorder="1" applyAlignment="1" applyProtection="0">
      <alignment horizontal="right" vertical="bottom"/>
    </xf>
    <xf numFmtId="3" fontId="0" fillId="2" borderId="9" applyNumberFormat="1" applyFont="1" applyFill="1" applyBorder="1" applyAlignment="1" applyProtection="0">
      <alignment horizontal="left" vertical="bottom"/>
    </xf>
    <xf numFmtId="49" fontId="4" fillId="4" borderId="4" applyNumberFormat="1" applyFont="1" applyFill="1" applyBorder="1" applyAlignment="1" applyProtection="0">
      <alignment horizontal="center" vertical="bottom"/>
    </xf>
    <xf numFmtId="49" fontId="4" fillId="4" borderId="10" applyNumberFormat="1" applyFont="1" applyFill="1" applyBorder="1" applyAlignment="1" applyProtection="0">
      <alignment horizontal="center" vertical="bottom"/>
    </xf>
    <xf numFmtId="3" fontId="0" fillId="2" borderId="11" applyNumberFormat="1" applyFont="1" applyFill="1" applyBorder="1" applyAlignment="1" applyProtection="0">
      <alignment horizontal="left" vertical="bottom"/>
    </xf>
    <xf numFmtId="59" fontId="0" fillId="2" borderId="6" applyNumberFormat="1" applyFont="1" applyFill="1" applyBorder="1" applyAlignment="1" applyProtection="0">
      <alignment horizontal="right" vertical="bottom"/>
    </xf>
    <xf numFmtId="49" fontId="0" fillId="5" borderId="1" applyNumberFormat="1" applyFont="1" applyFill="1" applyBorder="1" applyAlignment="1" applyProtection="0">
      <alignment horizontal="center" vertical="top" wrapText="1"/>
    </xf>
    <xf numFmtId="0" fontId="0" fillId="5" borderId="1" applyNumberFormat="0" applyFont="1" applyFill="1" applyBorder="1" applyAlignment="1" applyProtection="0">
      <alignment horizontal="center" vertical="bottom" wrapText="1"/>
    </xf>
    <xf numFmtId="4" fontId="0" fillId="2" borderId="1" applyNumberFormat="1" applyFont="1" applyFill="1" applyBorder="1" applyAlignment="1" applyProtection="0">
      <alignment horizontal="right" vertical="bottom"/>
    </xf>
    <xf numFmtId="0" fontId="0" fillId="2" borderId="7" applyNumberFormat="0" applyFont="1" applyFill="1" applyBorder="1" applyAlignment="1" applyProtection="0">
      <alignment vertical="bottom"/>
    </xf>
    <xf numFmtId="4" fontId="0" fillId="2" borderId="8" applyNumberFormat="1" applyFont="1" applyFill="1" applyBorder="1" applyAlignment="1" applyProtection="0">
      <alignment horizontal="left" vertical="bottom"/>
    </xf>
    <xf numFmtId="3" fontId="0" fillId="2" borderId="9" applyNumberFormat="1" applyFont="1" applyFill="1" applyBorder="1" applyAlignment="1" applyProtection="0">
      <alignment horizontal="right" vertical="bottom"/>
    </xf>
    <xf numFmtId="49" fontId="4" fillId="6" borderId="4" applyNumberFormat="1" applyFont="1" applyFill="1" applyBorder="1" applyAlignment="1" applyProtection="0">
      <alignment horizontal="center" vertical="bottom"/>
    </xf>
    <xf numFmtId="49" fontId="4" fillId="6" borderId="10" applyNumberFormat="1" applyFont="1" applyFill="1" applyBorder="1" applyAlignment="1" applyProtection="0">
      <alignment horizontal="center" vertical="bottom"/>
    </xf>
    <xf numFmtId="4" fontId="0" fillId="2" borderId="4" applyNumberFormat="1" applyFont="1" applyFill="1" applyBorder="1" applyAlignment="1" applyProtection="0">
      <alignment horizontal="left" vertical="bottom"/>
    </xf>
    <xf numFmtId="59" fontId="0" fillId="2" borderId="1" applyNumberFormat="1" applyFont="1" applyFill="1" applyBorder="1" applyAlignment="1" applyProtection="0">
      <alignment horizontal="right" vertical="bottom"/>
    </xf>
    <xf numFmtId="3" fontId="0" fillId="7" borderId="4" applyNumberFormat="1" applyFont="1" applyFill="1" applyBorder="1" applyAlignment="1" applyProtection="0">
      <alignment horizontal="right" vertical="bottom"/>
    </xf>
    <xf numFmtId="4" fontId="0" fillId="8" borderId="4" applyNumberFormat="1" applyFont="1" applyFill="1" applyBorder="1" applyAlignment="1" applyProtection="0">
      <alignment horizontal="right" vertical="bottom"/>
    </xf>
    <xf numFmtId="3" fontId="0" fillId="8" borderId="4" applyNumberFormat="1" applyFont="1" applyFill="1" applyBorder="1" applyAlignment="1" applyProtection="0">
      <alignment horizontal="right" vertical="bottom"/>
    </xf>
    <xf numFmtId="0" fontId="0" fillId="2" borderId="9" applyNumberFormat="0" applyFont="1" applyFill="1" applyBorder="1" applyAlignment="1" applyProtection="0">
      <alignment vertical="bottom"/>
    </xf>
    <xf numFmtId="4" fontId="0" fillId="2" borderId="9" applyNumberFormat="1" applyFont="1" applyFill="1" applyBorder="1" applyAlignment="1" applyProtection="0">
      <alignment vertical="bottom"/>
    </xf>
    <xf numFmtId="4" fontId="0" fillId="2" borderId="9" applyNumberFormat="1" applyFont="1" applyFill="1" applyBorder="1" applyAlignment="1" applyProtection="0">
      <alignment horizontal="left" vertical="bottom"/>
    </xf>
    <xf numFmtId="4" fontId="0" fillId="2" borderId="9" applyNumberFormat="1" applyFont="1" applyFill="1" applyBorder="1" applyAlignment="1" applyProtection="0">
      <alignment horizontal="right" vertical="bottom"/>
    </xf>
    <xf numFmtId="0" fontId="3" fillId="2" borderId="2" applyNumberFormat="0" applyFont="1" applyFill="1" applyBorder="1" applyAlignment="1" applyProtection="0">
      <alignment horizontal="left" vertical="bottom"/>
    </xf>
    <xf numFmtId="3" fontId="0" fillId="2" borderId="2" applyNumberFormat="1" applyFont="1" applyFill="1" applyBorder="1" applyAlignment="1" applyProtection="0">
      <alignment vertical="bottom"/>
    </xf>
    <xf numFmtId="49" fontId="3" fillId="3" borderId="4" applyNumberFormat="1" applyFont="1" applyFill="1" applyBorder="1" applyAlignment="1" applyProtection="0">
      <alignment horizontal="left" vertical="bottom"/>
    </xf>
    <xf numFmtId="3" fontId="0" fillId="2" borderId="6" applyNumberFormat="1" applyFont="1" applyFill="1" applyBorder="1" applyAlignment="1" applyProtection="0">
      <alignment horizontal="right" vertical="bottom"/>
    </xf>
    <xf numFmtId="3" fontId="0" fillId="2" borderId="12" applyNumberFormat="1" applyFont="1" applyFill="1" applyBorder="1" applyAlignment="1" applyProtection="0">
      <alignment horizontal="right" vertical="bottom"/>
    </xf>
    <xf numFmtId="3" fontId="0" fillId="2" borderId="6" applyNumberFormat="1" applyFont="1" applyFill="1" applyBorder="1" applyAlignment="1" applyProtection="0">
      <alignment horizontal="left" vertical="bottom"/>
    </xf>
    <xf numFmtId="61" fontId="0" fillId="2" borderId="4" applyNumberFormat="1" applyFont="1" applyFill="1" applyBorder="1" applyAlignment="1" applyProtection="0">
      <alignment vertical="bottom"/>
    </xf>
    <xf numFmtId="3" fontId="3" fillId="2" borderId="4" applyNumberFormat="1" applyFont="1" applyFill="1" applyBorder="1" applyAlignment="1" applyProtection="0">
      <alignment horizontal="right" vertical="bottom"/>
    </xf>
    <xf numFmtId="4" fontId="0" fillId="2" borderId="12" applyNumberFormat="1" applyFont="1" applyFill="1" applyBorder="1" applyAlignment="1" applyProtection="0">
      <alignment horizontal="left" vertical="bottom"/>
    </xf>
    <xf numFmtId="4" fontId="0" fillId="2" borderId="6" applyNumberFormat="1" applyFont="1" applyFill="1" applyBorder="1" applyAlignment="1" applyProtection="0">
      <alignment horizontal="left" vertical="bottom"/>
    </xf>
    <xf numFmtId="0" fontId="3" fillId="2" borderId="13" applyNumberFormat="0" applyFont="1" applyFill="1" applyBorder="1" applyAlignment="1" applyProtection="0">
      <alignment horizontal="left" vertical="bottom"/>
    </xf>
    <xf numFmtId="0" fontId="0" fillId="2" borderId="4" applyNumberFormat="0" applyFont="1" applyFill="1" applyBorder="1" applyAlignment="1" applyProtection="0">
      <alignment vertical="bottom"/>
    </xf>
    <xf numFmtId="3" fontId="0" fillId="2" borderId="14" applyNumberFormat="1" applyFont="1" applyFill="1" applyBorder="1" applyAlignment="1" applyProtection="0">
      <alignment vertical="bottom"/>
    </xf>
    <xf numFmtId="3" fontId="0" fillId="2" borderId="7" applyNumberFormat="1" applyFont="1" applyFill="1" applyBorder="1" applyAlignment="1" applyProtection="0">
      <alignment vertical="bottom"/>
    </xf>
    <xf numFmtId="3" fontId="0" fillId="2" borderId="13" applyNumberFormat="1" applyFont="1" applyFill="1" applyBorder="1" applyAlignment="1" applyProtection="0">
      <alignment vertical="bottom"/>
    </xf>
    <xf numFmtId="49" fontId="4" fillId="4" borderId="4" applyNumberFormat="1" applyFont="1" applyFill="1" applyBorder="1" applyAlignment="1" applyProtection="0">
      <alignment horizontal="left" vertical="bottom"/>
    </xf>
    <xf numFmtId="4" fontId="3" fillId="2" borderId="4" applyNumberFormat="1" applyFont="1" applyFill="1" applyBorder="1" applyAlignment="1" applyProtection="0">
      <alignment horizontal="right" vertical="bottom"/>
    </xf>
    <xf numFmtId="0" fontId="0" fillId="2" borderId="7" applyNumberFormat="0" applyFont="1" applyFill="1" applyBorder="1" applyAlignment="1" applyProtection="0">
      <alignment horizontal="left" vertical="bottom"/>
    </xf>
    <xf numFmtId="4" fontId="0" fillId="2" borderId="7" applyNumberFormat="1" applyFont="1" applyFill="1" applyBorder="1" applyAlignment="1" applyProtection="0">
      <alignment horizontal="left" vertical="bottom"/>
    </xf>
    <xf numFmtId="4" fontId="0" fillId="2" borderId="1" applyNumberFormat="1" applyFont="1" applyFill="1" applyBorder="1" applyAlignment="1" applyProtection="0">
      <alignment horizontal="left" vertical="bottom"/>
    </xf>
    <xf numFmtId="49" fontId="4" fillId="6" borderId="4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9" borderId="15" applyNumberFormat="1" applyFont="1" applyFill="1" applyBorder="1" applyAlignment="1" applyProtection="0">
      <alignment horizontal="center" vertical="bottom"/>
    </xf>
    <xf numFmtId="49" fontId="3" fillId="10" borderId="4" applyNumberFormat="1" applyFont="1" applyFill="1" applyBorder="1" applyAlignment="1" applyProtection="0">
      <alignment horizontal="left" vertical="bottom"/>
    </xf>
    <xf numFmtId="4" fontId="0" fillId="2" borderId="16" applyNumberFormat="1" applyFont="1" applyFill="1" applyBorder="1" applyAlignment="1" applyProtection="0">
      <alignment vertical="bottom"/>
    </xf>
    <xf numFmtId="4" fontId="0" fillId="2" borderId="17" applyNumberFormat="1" applyFont="1" applyFill="1" applyBorder="1" applyAlignment="1" applyProtection="0">
      <alignment vertical="bottom"/>
    </xf>
    <xf numFmtId="4" fontId="0" fillId="2" borderId="18" applyNumberFormat="1" applyFont="1" applyFill="1" applyBorder="1" applyAlignment="1" applyProtection="0">
      <alignment vertical="bottom"/>
    </xf>
    <xf numFmtId="4" fontId="0" fillId="2" borderId="19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9" borderId="15" applyNumberFormat="1" applyFont="1" applyFill="1" applyBorder="1" applyAlignment="1" applyProtection="0">
      <alignment horizontal="left" vertical="bottom"/>
    </xf>
    <xf numFmtId="49" fontId="5" fillId="9" borderId="20" applyNumberFormat="1" applyFont="1" applyFill="1" applyBorder="1" applyAlignment="1" applyProtection="0">
      <alignment horizontal="left" vertical="bottom"/>
    </xf>
    <xf numFmtId="0" fontId="0" borderId="21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3" fontId="0" fillId="2" borderId="23" applyNumberFormat="1" applyFont="1" applyFill="1" applyBorder="1" applyAlignment="1" applyProtection="0">
      <alignment vertical="bottom"/>
    </xf>
    <xf numFmtId="3" fontId="0" fillId="2" borderId="24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c6c6c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aaaaa"/>
      <rgbColor rgb="ff808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89"/>
  <sheetViews>
    <sheetView workbookViewId="0" showGridLines="0" defaultGridColor="1"/>
  </sheetViews>
  <sheetFormatPr defaultColWidth="8.83333" defaultRowHeight="15" customHeight="1" outlineLevelRow="0" outlineLevelCol="0"/>
  <cols>
    <col min="1" max="1" width="11.6719" style="1" customWidth="1"/>
    <col min="2" max="2" width="10.3516" style="1" customWidth="1"/>
    <col min="3" max="3" width="14.6719" style="1" customWidth="1"/>
    <col min="4" max="9" width="15.6719" style="1" customWidth="1"/>
    <col min="10" max="10" width="13" style="1" customWidth="1"/>
    <col min="11" max="11" width="11.6719" style="1" customWidth="1"/>
    <col min="12" max="12" width="10.1719" style="1" customWidth="1"/>
    <col min="13" max="13" width="30.1719" style="1" customWidth="1"/>
    <col min="14" max="14" width="36.6719" style="1" customWidth="1"/>
    <col min="15" max="16" width="11.6719" style="1" customWidth="1"/>
    <col min="17" max="16384" width="8.85156" style="1" customWidth="1"/>
  </cols>
  <sheetData>
    <row r="1" ht="17.25" customHeight="1">
      <c r="A1" s="2"/>
      <c r="B1" s="3"/>
      <c r="C1" s="4"/>
      <c r="D1" s="5"/>
      <c r="E1" s="5"/>
      <c r="F1" s="5"/>
      <c r="G1" s="5"/>
      <c r="H1" s="5"/>
      <c r="I1" s="5"/>
      <c r="J1" s="6"/>
      <c r="K1" s="7"/>
      <c r="L1" s="8"/>
      <c r="M1" s="2"/>
      <c r="N1" s="2"/>
      <c r="O1" s="2"/>
      <c r="P1" s="7"/>
    </row>
    <row r="2" ht="18" customHeight="1">
      <c r="A2" s="9"/>
      <c r="B2" t="s" s="10">
        <v>0</v>
      </c>
      <c r="C2" t="s" s="10">
        <v>1</v>
      </c>
      <c r="D2" t="s" s="10">
        <v>2</v>
      </c>
      <c r="E2" t="s" s="10">
        <v>3</v>
      </c>
      <c r="F2" t="s" s="10">
        <v>4</v>
      </c>
      <c r="G2" t="s" s="10">
        <v>5</v>
      </c>
      <c r="H2" t="s" s="10">
        <v>6</v>
      </c>
      <c r="I2" t="s" s="11">
        <v>7</v>
      </c>
      <c r="J2" t="s" s="10">
        <v>8</v>
      </c>
      <c r="K2" s="12"/>
      <c r="L2" s="13"/>
      <c r="M2" s="14"/>
      <c r="N2" s="14"/>
      <c r="O2" s="2"/>
      <c r="P2" s="7"/>
    </row>
    <row r="3" ht="18" customHeight="1">
      <c r="A3" s="9"/>
      <c r="B3" t="s" s="15">
        <v>9</v>
      </c>
      <c r="C3" t="s" s="11">
        <v>10</v>
      </c>
      <c r="D3" s="16">
        <v>3065.6</v>
      </c>
      <c r="E3" s="16">
        <v>417.94</v>
      </c>
      <c r="F3" s="16">
        <v>3.897</v>
      </c>
      <c r="G3" s="16"/>
      <c r="H3" s="16">
        <f>SUM(D3:F3)</f>
        <v>3487.437</v>
      </c>
      <c r="I3" s="17">
        <f>H3-J3</f>
        <v>1305.757</v>
      </c>
      <c r="J3" s="17">
        <v>2181.68</v>
      </c>
      <c r="K3" s="18">
        <f>H3*4200</f>
        <v>14647235.4</v>
      </c>
      <c r="L3" s="19">
        <f>J3/H3</f>
        <v>0.62558262701233</v>
      </c>
      <c r="M3" t="s" s="20">
        <v>11</v>
      </c>
      <c r="N3" s="2"/>
      <c r="O3" s="21"/>
      <c r="P3" s="7"/>
    </row>
    <row r="4" ht="18" customHeight="1">
      <c r="A4" s="9"/>
      <c r="B4" t="s" s="15">
        <v>12</v>
      </c>
      <c r="C4" t="s" s="11">
        <v>10</v>
      </c>
      <c r="D4" s="16">
        <v>3374.13</v>
      </c>
      <c r="E4" s="16">
        <v>762.65</v>
      </c>
      <c r="F4" s="16">
        <v>117.558</v>
      </c>
      <c r="G4" s="16"/>
      <c r="H4" s="16">
        <f>SUM(D4:F4)</f>
        <v>4254.338</v>
      </c>
      <c r="I4" s="17">
        <f>H4-J4</f>
        <v>1665.688</v>
      </c>
      <c r="J4" s="17">
        <v>2588.65</v>
      </c>
      <c r="K4" s="18">
        <f>H4*4200</f>
        <v>17868219.6</v>
      </c>
      <c r="L4" s="19">
        <f>J4/H4</f>
        <v>0.608473045630131</v>
      </c>
      <c r="M4" t="s" s="20">
        <v>11</v>
      </c>
      <c r="N4" s="21"/>
      <c r="O4" s="21"/>
      <c r="P4" s="7"/>
    </row>
    <row r="5" ht="18" customHeight="1">
      <c r="A5" s="9"/>
      <c r="B5" t="s" s="15">
        <v>13</v>
      </c>
      <c r="C5" t="s" s="11">
        <v>10</v>
      </c>
      <c r="D5" s="16">
        <v>2312.23</v>
      </c>
      <c r="E5" s="16">
        <v>931.05</v>
      </c>
      <c r="F5" s="16">
        <v>280.133</v>
      </c>
      <c r="G5" s="16"/>
      <c r="H5" s="16">
        <f>SUM(D5:F5)</f>
        <v>3523.413</v>
      </c>
      <c r="I5" s="17">
        <f>H5-J5</f>
        <v>1798.163</v>
      </c>
      <c r="J5" s="17">
        <f>1725.25</f>
        <v>1725.25</v>
      </c>
      <c r="K5" s="18">
        <f>H5*4200</f>
        <v>14798334.6</v>
      </c>
      <c r="L5" s="19">
        <f>J5/H5</f>
        <v>0.48965307217746</v>
      </c>
      <c r="M5" t="s" s="20">
        <v>11</v>
      </c>
      <c r="N5" s="2"/>
      <c r="O5" s="2"/>
      <c r="P5" s="7"/>
    </row>
    <row r="6" ht="18" customHeight="1">
      <c r="A6" s="9"/>
      <c r="B6" t="s" s="15">
        <v>13</v>
      </c>
      <c r="C6" t="s" s="11">
        <v>10</v>
      </c>
      <c r="D6" s="16"/>
      <c r="E6" s="16"/>
      <c r="F6" s="16"/>
      <c r="G6" s="16"/>
      <c r="H6" s="16"/>
      <c r="I6" s="17"/>
      <c r="J6" s="17">
        <v>858.8</v>
      </c>
      <c r="K6" s="18">
        <f>H6*4200</f>
        <v>0</v>
      </c>
      <c r="L6" s="19"/>
      <c r="M6" t="s" s="20">
        <v>14</v>
      </c>
      <c r="N6" s="2"/>
      <c r="O6" s="2"/>
      <c r="P6" s="7"/>
    </row>
    <row r="7" ht="18" customHeight="1">
      <c r="A7" s="9"/>
      <c r="B7" t="s" s="15">
        <v>15</v>
      </c>
      <c r="C7" t="s" s="11">
        <v>10</v>
      </c>
      <c r="D7" s="16">
        <v>4000.51</v>
      </c>
      <c r="E7" s="16">
        <v>648.29</v>
      </c>
      <c r="F7" s="16">
        <v>34.138</v>
      </c>
      <c r="G7" s="16"/>
      <c r="H7" s="16">
        <v>4683.35</v>
      </c>
      <c r="I7" s="17">
        <v>625.3</v>
      </c>
      <c r="J7" s="17">
        <f>H7-I7</f>
        <v>4058.05</v>
      </c>
      <c r="K7" s="18">
        <f>H7*4200</f>
        <v>19670070</v>
      </c>
      <c r="L7" s="19">
        <f>J7/H7</f>
        <v>0.866484460909392</v>
      </c>
      <c r="M7" s="22"/>
      <c r="N7" s="22"/>
      <c r="O7" s="2"/>
      <c r="P7" s="7"/>
    </row>
    <row r="8" ht="18" customHeight="1">
      <c r="A8" s="9"/>
      <c r="B8" t="s" s="15">
        <v>16</v>
      </c>
      <c r="C8" t="s" s="11">
        <v>10</v>
      </c>
      <c r="D8" s="16">
        <v>7248.14</v>
      </c>
      <c r="E8" s="16">
        <v>1004.46</v>
      </c>
      <c r="F8" s="16">
        <v>11.89</v>
      </c>
      <c r="G8" s="16"/>
      <c r="H8" s="16">
        <v>8264.49</v>
      </c>
      <c r="I8" s="17">
        <v>826.8200000000001</v>
      </c>
      <c r="J8" s="17">
        <f>H8-I8</f>
        <v>7437.67</v>
      </c>
      <c r="K8" s="18">
        <f>H8*4200</f>
        <v>34710858</v>
      </c>
      <c r="L8" s="19">
        <f>J8/H8</f>
        <v>0.8999551091476909</v>
      </c>
      <c r="M8" s="21"/>
      <c r="N8" s="21"/>
      <c r="O8" s="21"/>
      <c r="P8" s="7"/>
    </row>
    <row r="9" ht="18" customHeight="1">
      <c r="A9" s="9"/>
      <c r="B9" t="s" s="15">
        <v>17</v>
      </c>
      <c r="C9" t="s" s="11">
        <v>10</v>
      </c>
      <c r="D9" s="16">
        <v>5262.48</v>
      </c>
      <c r="E9" s="16">
        <v>463.88</v>
      </c>
      <c r="F9" s="16">
        <v>9.550000000000001</v>
      </c>
      <c r="G9" s="16"/>
      <c r="H9" s="16">
        <v>5735.9</v>
      </c>
      <c r="I9" s="17">
        <v>567.4400000000001</v>
      </c>
      <c r="J9" s="17">
        <f>H9-I9</f>
        <v>5168.46</v>
      </c>
      <c r="K9" s="18">
        <f>H9*4200</f>
        <v>24090780</v>
      </c>
      <c r="L9" s="19">
        <f>J9/H9</f>
        <v>0.901072194424589</v>
      </c>
      <c r="M9" s="2"/>
      <c r="N9" s="2"/>
      <c r="O9" s="2"/>
      <c r="P9" s="7"/>
    </row>
    <row r="10" ht="18" customHeight="1">
      <c r="A10" s="9"/>
      <c r="B10" t="s" s="15">
        <v>18</v>
      </c>
      <c r="C10" t="s" s="11">
        <v>10</v>
      </c>
      <c r="D10" s="16">
        <v>2555.23</v>
      </c>
      <c r="E10" s="16">
        <v>818.1</v>
      </c>
      <c r="F10" s="16">
        <v>11.57</v>
      </c>
      <c r="G10" s="16"/>
      <c r="H10" s="16">
        <f>SUM(D10:F10)</f>
        <v>3384.9</v>
      </c>
      <c r="I10" s="17">
        <v>413.93</v>
      </c>
      <c r="J10" s="17">
        <f>H10-I10</f>
        <v>2970.97</v>
      </c>
      <c r="K10" s="18">
        <f>H10*4200</f>
        <v>14216580</v>
      </c>
      <c r="L10" s="19">
        <f>J10/H10</f>
        <v>0.877712783243227</v>
      </c>
      <c r="M10" s="2"/>
      <c r="N10" s="2"/>
      <c r="O10" s="2"/>
      <c r="P10" s="7"/>
    </row>
    <row r="11" ht="18" customHeight="1">
      <c r="A11" s="9"/>
      <c r="B11" t="s" s="15">
        <v>19</v>
      </c>
      <c r="C11" t="s" s="11">
        <v>10</v>
      </c>
      <c r="D11" s="16">
        <v>2638.87</v>
      </c>
      <c r="E11" s="16">
        <v>768.6900000000001</v>
      </c>
      <c r="F11" s="16">
        <v>17.43</v>
      </c>
      <c r="G11" s="16"/>
      <c r="H11" s="16">
        <v>3424.99</v>
      </c>
      <c r="I11" s="17">
        <v>476.79</v>
      </c>
      <c r="J11" s="17">
        <f>H11-I11</f>
        <v>2948.2</v>
      </c>
      <c r="K11" s="18">
        <f>H11*4200</f>
        <v>14384958</v>
      </c>
      <c r="L11" s="19">
        <f>J11/H11</f>
        <v>0.860790834425794</v>
      </c>
      <c r="M11" s="2"/>
      <c r="N11" s="2"/>
      <c r="O11" s="2"/>
      <c r="P11" s="7"/>
    </row>
    <row r="12" ht="18" customHeight="1">
      <c r="A12" s="9"/>
      <c r="B12" t="s" s="15">
        <v>20</v>
      </c>
      <c r="C12" t="s" s="11">
        <v>10</v>
      </c>
      <c r="D12" s="16">
        <v>3568.76</v>
      </c>
      <c r="E12" s="16">
        <v>600.08</v>
      </c>
      <c r="F12" s="16">
        <v>9.210000000000001</v>
      </c>
      <c r="G12" s="16"/>
      <c r="H12" s="16">
        <v>4178.05</v>
      </c>
      <c r="I12" s="17">
        <v>487.27</v>
      </c>
      <c r="J12" s="17">
        <f>H12-I12</f>
        <v>3690.78</v>
      </c>
      <c r="K12" s="18">
        <f>H12*4200</f>
        <v>17547810</v>
      </c>
      <c r="L12" s="19">
        <f>J12/H12</f>
        <v>0.883373822716339</v>
      </c>
      <c r="M12" s="2"/>
      <c r="N12" s="2"/>
      <c r="O12" s="2"/>
      <c r="P12" s="7"/>
    </row>
    <row r="13" ht="18" customHeight="1">
      <c r="A13" s="9"/>
      <c r="B13" t="s" s="15">
        <v>21</v>
      </c>
      <c r="C13" t="s" s="11">
        <v>10</v>
      </c>
      <c r="D13" s="16">
        <v>2237.23</v>
      </c>
      <c r="E13" s="16">
        <v>1145.29</v>
      </c>
      <c r="F13" s="16">
        <v>7.55</v>
      </c>
      <c r="G13" s="16"/>
      <c r="H13" s="16">
        <v>3390.06</v>
      </c>
      <c r="I13" s="17">
        <v>425.76</v>
      </c>
      <c r="J13" s="17">
        <f>H13-I13</f>
        <v>2964.3</v>
      </c>
      <c r="K13" s="18">
        <f>H13*4200</f>
        <v>14238252</v>
      </c>
      <c r="L13" s="19">
        <f>J13/H13</f>
        <v>0.874409302490221</v>
      </c>
      <c r="M13" s="2"/>
      <c r="N13" s="2"/>
      <c r="O13" s="2"/>
      <c r="P13" s="7"/>
    </row>
    <row r="14" ht="18" customHeight="1">
      <c r="A14" s="9"/>
      <c r="B14" t="s" s="15">
        <v>22</v>
      </c>
      <c r="C14" t="s" s="11">
        <v>10</v>
      </c>
      <c r="D14" s="16">
        <v>1891.39</v>
      </c>
      <c r="E14" s="16">
        <v>2066.42</v>
      </c>
      <c r="F14" s="16">
        <v>5.72</v>
      </c>
      <c r="G14" s="16"/>
      <c r="H14" s="16">
        <f>SUM(D14:F14)</f>
        <v>3963.53</v>
      </c>
      <c r="I14" s="17">
        <v>450.62</v>
      </c>
      <c r="J14" s="17">
        <f>H14-I14</f>
        <v>3512.91</v>
      </c>
      <c r="K14" s="18">
        <f>H14*4300</f>
        <v>17043179</v>
      </c>
      <c r="L14" s="19">
        <f>J14/H14</f>
        <v>0.886308416991924</v>
      </c>
      <c r="M14" s="2"/>
      <c r="N14" s="2"/>
      <c r="O14" s="2"/>
      <c r="P14" s="7"/>
    </row>
    <row r="15" ht="18" customHeight="1">
      <c r="A15" s="9"/>
      <c r="B15" t="s" s="15">
        <v>23</v>
      </c>
      <c r="C15" t="s" s="11">
        <v>10</v>
      </c>
      <c r="D15" s="16">
        <v>1636.99</v>
      </c>
      <c r="E15" s="16">
        <v>4974.82</v>
      </c>
      <c r="F15" s="16">
        <v>6.13</v>
      </c>
      <c r="G15" s="16"/>
      <c r="H15" s="16">
        <v>6637.59</v>
      </c>
      <c r="I15" s="17">
        <v>958.72</v>
      </c>
      <c r="J15" s="17">
        <f>H15-I15</f>
        <v>5678.87</v>
      </c>
      <c r="K15" s="18">
        <f>H15*3800</f>
        <v>25222842</v>
      </c>
      <c r="L15" s="19">
        <f>J15/H15</f>
        <v>0.855562033810464</v>
      </c>
      <c r="M15" s="2"/>
      <c r="N15" s="2"/>
      <c r="O15" s="2"/>
      <c r="P15" s="7"/>
    </row>
    <row r="16" ht="18" customHeight="1">
      <c r="A16" s="9"/>
      <c r="B16" s="23"/>
      <c r="C16" t="s" s="11">
        <v>10</v>
      </c>
      <c r="D16" s="24">
        <f>SUM(D3:D15)</f>
        <v>39791.56</v>
      </c>
      <c r="E16" s="16">
        <f>SUM(E3:E15)</f>
        <v>14601.67</v>
      </c>
      <c r="F16" s="24">
        <f>SUM(F3:F15)</f>
        <v>514.776</v>
      </c>
      <c r="G16" s="24"/>
      <c r="H16" s="24">
        <f>SUM(H3:H15)</f>
        <v>54928.048</v>
      </c>
      <c r="I16" s="17">
        <f>SUM(I3:I15)</f>
        <v>10002.258</v>
      </c>
      <c r="J16" s="17">
        <f>SUM(J3:J15)</f>
        <v>45784.59</v>
      </c>
      <c r="K16" s="25"/>
      <c r="L16" s="26"/>
      <c r="M16" s="2"/>
      <c r="N16" s="2"/>
      <c r="O16" s="2"/>
      <c r="P16" s="7"/>
    </row>
    <row r="17" ht="18" customHeight="1">
      <c r="A17" s="2"/>
      <c r="B17" s="27"/>
      <c r="C17" s="28"/>
      <c r="D17" s="29"/>
      <c r="E17" s="30"/>
      <c r="F17" s="29"/>
      <c r="G17" s="29"/>
      <c r="H17" s="29"/>
      <c r="I17" s="31"/>
      <c r="J17" s="31"/>
      <c r="K17" s="32"/>
      <c r="L17" s="8"/>
      <c r="M17" s="2"/>
      <c r="N17" s="2"/>
      <c r="O17" s="2"/>
      <c r="P17" s="7"/>
    </row>
    <row r="18" ht="18" customHeight="1">
      <c r="A18" s="9"/>
      <c r="B18" t="s" s="33">
        <v>0</v>
      </c>
      <c r="C18" t="s" s="33">
        <v>1</v>
      </c>
      <c r="D18" t="s" s="34">
        <v>2</v>
      </c>
      <c r="E18" t="s" s="34">
        <v>3</v>
      </c>
      <c r="F18" t="s" s="34">
        <v>4</v>
      </c>
      <c r="G18" t="s" s="34">
        <v>5</v>
      </c>
      <c r="H18" t="s" s="34">
        <v>6</v>
      </c>
      <c r="I18" t="s" s="34">
        <v>7</v>
      </c>
      <c r="J18" t="s" s="34">
        <v>8</v>
      </c>
      <c r="K18" s="35"/>
      <c r="L18" s="26"/>
      <c r="M18" s="2"/>
      <c r="N18" s="2"/>
      <c r="O18" s="2"/>
      <c r="P18" s="7"/>
    </row>
    <row r="19" ht="18" customHeight="1">
      <c r="A19" s="9"/>
      <c r="B19" t="s" s="15">
        <v>24</v>
      </c>
      <c r="C19" t="s" s="11">
        <v>10</v>
      </c>
      <c r="D19" s="16">
        <v>1303.18</v>
      </c>
      <c r="E19" s="16">
        <v>14687.1</v>
      </c>
      <c r="F19" s="16">
        <v>9.77</v>
      </c>
      <c r="G19" s="16"/>
      <c r="H19" s="16">
        <f>SUM(D19:G19)</f>
        <v>16000.05</v>
      </c>
      <c r="I19" s="17">
        <v>2516.46</v>
      </c>
      <c r="J19" s="17">
        <f>H19-I19</f>
        <v>13483.59</v>
      </c>
      <c r="K19" s="18">
        <f>J19*4300</f>
        <v>57979437</v>
      </c>
      <c r="L19" s="36">
        <f>I19/H19</f>
        <v>0.157278258505442</v>
      </c>
      <c r="M19" s="2"/>
      <c r="N19" t="s" s="37">
        <v>25</v>
      </c>
      <c r="O19" s="2"/>
      <c r="P19" s="7"/>
    </row>
    <row r="20" ht="18" customHeight="1">
      <c r="A20" s="9"/>
      <c r="B20" t="s" s="15">
        <v>26</v>
      </c>
      <c r="C20" t="s" s="11">
        <v>10</v>
      </c>
      <c r="D20" s="16">
        <v>1308.7</v>
      </c>
      <c r="E20" s="16">
        <v>4945.35</v>
      </c>
      <c r="F20" s="16">
        <v>8.68</v>
      </c>
      <c r="G20" s="16"/>
      <c r="H20" s="16">
        <f>SUM(D20:G20)</f>
        <v>6262.73</v>
      </c>
      <c r="I20" s="17">
        <v>839.51</v>
      </c>
      <c r="J20" s="17">
        <f>H20-I20</f>
        <v>5423.22</v>
      </c>
      <c r="K20" s="18">
        <f>J20*4200</f>
        <v>22777524</v>
      </c>
      <c r="L20" s="36">
        <f>I20/H20</f>
        <v>0.134048569872883</v>
      </c>
      <c r="M20" s="2"/>
      <c r="N20" s="38"/>
      <c r="O20" s="2"/>
      <c r="P20" s="7"/>
    </row>
    <row r="21" ht="18" customHeight="1">
      <c r="A21" s="9"/>
      <c r="B21" t="s" s="15">
        <v>27</v>
      </c>
      <c r="C21" t="s" s="11">
        <v>10</v>
      </c>
      <c r="D21" s="16">
        <v>1124.96</v>
      </c>
      <c r="E21" s="16">
        <v>4715.51</v>
      </c>
      <c r="F21" s="16">
        <v>6.03</v>
      </c>
      <c r="G21" s="16"/>
      <c r="H21" s="16">
        <f>SUM(D21:G21)</f>
        <v>5846.5</v>
      </c>
      <c r="I21" s="17">
        <v>1374.49</v>
      </c>
      <c r="J21" s="17">
        <f>H21-I21</f>
        <v>4472.01</v>
      </c>
      <c r="K21" s="18">
        <f>J21*4100</f>
        <v>18335241</v>
      </c>
      <c r="L21" s="36">
        <f>I21/H21</f>
        <v>0.235096211408535</v>
      </c>
      <c r="M21" s="2"/>
      <c r="N21" s="2"/>
      <c r="O21" s="2"/>
      <c r="P21" s="7"/>
    </row>
    <row r="22" ht="18" customHeight="1">
      <c r="A22" s="9"/>
      <c r="B22" t="s" s="15">
        <v>28</v>
      </c>
      <c r="C22" t="s" s="11">
        <v>10</v>
      </c>
      <c r="D22" s="16">
        <v>774.3</v>
      </c>
      <c r="E22" s="16">
        <v>11531.98</v>
      </c>
      <c r="F22" s="16">
        <v>3.82</v>
      </c>
      <c r="G22" s="16"/>
      <c r="H22" s="16">
        <f>SUM(D22:G22)</f>
        <v>12310.1</v>
      </c>
      <c r="I22" s="17">
        <v>1868.24</v>
      </c>
      <c r="J22" s="17">
        <f>H22-I22</f>
        <v>10441.86</v>
      </c>
      <c r="K22" s="18">
        <f>J22*4100</f>
        <v>42811626</v>
      </c>
      <c r="L22" s="36">
        <f>I22/H22</f>
        <v>0.151764811008846</v>
      </c>
      <c r="M22" s="2"/>
      <c r="N22" s="2"/>
      <c r="O22" s="2"/>
      <c r="P22" s="7"/>
    </row>
    <row r="23" ht="18" customHeight="1">
      <c r="A23" s="9"/>
      <c r="B23" t="s" s="15">
        <v>29</v>
      </c>
      <c r="C23" t="s" s="11">
        <v>10</v>
      </c>
      <c r="D23" s="16">
        <v>957.55</v>
      </c>
      <c r="E23" s="16">
        <v>5847.4</v>
      </c>
      <c r="F23" s="16">
        <v>3.04</v>
      </c>
      <c r="G23" s="16"/>
      <c r="H23" s="16">
        <f>SUM(D23:G23)</f>
        <v>6807.99</v>
      </c>
      <c r="I23" s="17">
        <v>915.79</v>
      </c>
      <c r="J23" s="17">
        <f>H23-I23</f>
        <v>5892.2</v>
      </c>
      <c r="K23" s="18">
        <f>J23*4100</f>
        <v>24158020</v>
      </c>
      <c r="L23" s="36">
        <f>I23/H23</f>
        <v>0.134516942592454</v>
      </c>
      <c r="M23" s="2"/>
      <c r="N23" s="2"/>
      <c r="O23" s="2"/>
      <c r="P23" s="7"/>
    </row>
    <row r="24" ht="16" customHeight="1">
      <c r="A24" s="9"/>
      <c r="B24" t="s" s="15">
        <v>30</v>
      </c>
      <c r="C24" t="s" s="11">
        <v>10</v>
      </c>
      <c r="D24" s="16">
        <v>1014.29</v>
      </c>
      <c r="E24" s="16">
        <v>13973.42</v>
      </c>
      <c r="F24" s="16">
        <v>4.97</v>
      </c>
      <c r="G24" s="16"/>
      <c r="H24" s="16">
        <f>SUM(D24:G24)</f>
        <v>14992.68</v>
      </c>
      <c r="I24" s="17">
        <v>1798.87</v>
      </c>
      <c r="J24" s="17">
        <f>H24-I24</f>
        <v>13193.81</v>
      </c>
      <c r="K24" s="18">
        <f>J24*4000</f>
        <v>52775240</v>
      </c>
      <c r="L24" s="36">
        <f>I24/H24</f>
        <v>0.119983218477284</v>
      </c>
      <c r="M24" s="39"/>
      <c r="N24" s="2"/>
      <c r="O24" s="2"/>
      <c r="P24" s="21">
        <f>O24*4100</f>
        <v>0</v>
      </c>
    </row>
    <row r="25" ht="16" customHeight="1">
      <c r="A25" s="9"/>
      <c r="B25" t="s" s="15">
        <v>31</v>
      </c>
      <c r="C25" t="s" s="11">
        <v>10</v>
      </c>
      <c r="D25" s="16">
        <v>1072.14</v>
      </c>
      <c r="E25" s="16">
        <v>6944.2</v>
      </c>
      <c r="F25" s="16">
        <v>3.57</v>
      </c>
      <c r="G25" s="16"/>
      <c r="H25" s="16">
        <f>SUM(D25:G25)</f>
        <v>8019.91</v>
      </c>
      <c r="I25" s="17">
        <v>1020.46</v>
      </c>
      <c r="J25" s="17">
        <f>H25-I25</f>
        <v>6999.45</v>
      </c>
      <c r="K25" s="18">
        <f>(J25*4050)*85%</f>
        <v>24095606.625</v>
      </c>
      <c r="L25" s="36">
        <f>I25/H25</f>
        <v>0.127240829385866</v>
      </c>
      <c r="M25" s="2"/>
      <c r="N25" s="2"/>
      <c r="O25" s="2"/>
      <c r="P25" s="7"/>
    </row>
    <row r="26" ht="16" customHeight="1">
      <c r="A26" s="9"/>
      <c r="B26" t="s" s="15">
        <v>32</v>
      </c>
      <c r="C26" t="s" s="11">
        <v>10</v>
      </c>
      <c r="D26" s="16">
        <v>1173.34</v>
      </c>
      <c r="E26" s="16">
        <v>11533.35</v>
      </c>
      <c r="F26" s="16">
        <v>3.45</v>
      </c>
      <c r="G26" s="16"/>
      <c r="H26" s="16">
        <f>SUM(D26:G26)</f>
        <v>12710.14</v>
      </c>
      <c r="I26" s="17">
        <v>1905.55</v>
      </c>
      <c r="J26" s="17">
        <f>H26-I26</f>
        <v>10804.59</v>
      </c>
      <c r="K26" s="18">
        <f>(J26*4050)*85%</f>
        <v>37194801.075</v>
      </c>
      <c r="L26" s="36">
        <f>I26/H26</f>
        <v>0.149923604303336</v>
      </c>
      <c r="M26" s="2"/>
      <c r="N26" s="2"/>
      <c r="O26" s="2"/>
      <c r="P26" s="7"/>
    </row>
    <row r="27" ht="16" customHeight="1">
      <c r="A27" s="9"/>
      <c r="B27" t="s" s="15">
        <v>33</v>
      </c>
      <c r="C27" t="s" s="11">
        <v>10</v>
      </c>
      <c r="D27" s="16">
        <v>1311.15</v>
      </c>
      <c r="E27" s="16">
        <v>8709.139999999999</v>
      </c>
      <c r="F27" s="16">
        <v>4.17</v>
      </c>
      <c r="G27" s="16"/>
      <c r="H27" s="16">
        <f>SUM(D27:G27)</f>
        <v>10024.46</v>
      </c>
      <c r="I27" s="17">
        <v>1510.21</v>
      </c>
      <c r="J27" s="17">
        <f>H27-I27</f>
        <v>8514.25</v>
      </c>
      <c r="K27" s="18">
        <f>(J27*3900)*85%</f>
        <v>28224738.75</v>
      </c>
      <c r="L27" s="36">
        <f>I27/H27</f>
        <v>0.150652503975276</v>
      </c>
      <c r="M27" s="2"/>
      <c r="N27" s="2"/>
      <c r="O27" s="2"/>
      <c r="P27" s="7"/>
    </row>
    <row r="28" ht="16" customHeight="1">
      <c r="A28" s="9"/>
      <c r="B28" t="s" s="15">
        <v>34</v>
      </c>
      <c r="C28" t="s" s="11">
        <v>10</v>
      </c>
      <c r="D28" s="16">
        <v>1113.25</v>
      </c>
      <c r="E28" s="16">
        <v>13410.09</v>
      </c>
      <c r="F28" s="16">
        <v>2.09</v>
      </c>
      <c r="G28" s="16"/>
      <c r="H28" s="16">
        <f>SUM(D28:G28)</f>
        <v>14525.43</v>
      </c>
      <c r="I28" s="17">
        <v>2284.83</v>
      </c>
      <c r="J28" s="17">
        <f>H28-I28</f>
        <v>12240.6</v>
      </c>
      <c r="K28" s="18">
        <f>(J28*3900)*85%</f>
        <v>40577589</v>
      </c>
      <c r="L28" s="36">
        <f>I28/H28</f>
        <v>0.157298613535021</v>
      </c>
      <c r="M28" s="2"/>
      <c r="N28" s="2"/>
      <c r="O28" s="2"/>
      <c r="P28" s="7"/>
    </row>
    <row r="29" ht="16" customHeight="1">
      <c r="A29" s="9"/>
      <c r="B29" t="s" s="15">
        <v>35</v>
      </c>
      <c r="C29" t="s" s="11">
        <v>10</v>
      </c>
      <c r="D29" s="16">
        <v>773.38</v>
      </c>
      <c r="E29" s="16">
        <v>19093.46</v>
      </c>
      <c r="F29" s="16">
        <v>3.09</v>
      </c>
      <c r="G29" s="16">
        <v>124.63</v>
      </c>
      <c r="H29" s="16">
        <f>SUM(D29:G29)</f>
        <v>19994.56</v>
      </c>
      <c r="I29" s="17">
        <v>2977.17</v>
      </c>
      <c r="J29" s="17">
        <f>H29-I29</f>
        <v>17017.39</v>
      </c>
      <c r="K29" s="18">
        <f>(J29*3900)*85%</f>
        <v>56412647.85</v>
      </c>
      <c r="L29" s="36">
        <f>I29/H29</f>
        <v>0.148899000528144</v>
      </c>
      <c r="M29" s="2"/>
      <c r="N29" s="2"/>
      <c r="O29" s="2"/>
      <c r="P29" s="7"/>
    </row>
    <row r="30" ht="16" customHeight="1">
      <c r="A30" s="9"/>
      <c r="B30" t="s" s="15">
        <v>36</v>
      </c>
      <c r="C30" t="s" s="11">
        <v>10</v>
      </c>
      <c r="D30" s="16">
        <v>790.01</v>
      </c>
      <c r="E30" s="16">
        <v>12530.7</v>
      </c>
      <c r="F30" s="16">
        <v>2.57</v>
      </c>
      <c r="G30" s="16">
        <v>394.57</v>
      </c>
      <c r="H30" s="16">
        <f>SUM(D30:G30)</f>
        <v>13717.85</v>
      </c>
      <c r="I30" s="17">
        <v>2977.17</v>
      </c>
      <c r="J30" s="17">
        <f>H30-I30</f>
        <v>10740.68</v>
      </c>
      <c r="K30" s="18">
        <f>(J30*3790)*85%</f>
        <v>34601100.62</v>
      </c>
      <c r="L30" s="36">
        <f>I30/H30</f>
        <v>0.217028907591204</v>
      </c>
      <c r="M30" s="2"/>
      <c r="N30" s="2"/>
      <c r="O30" s="2"/>
      <c r="P30" s="7"/>
    </row>
    <row r="31" ht="16" customHeight="1">
      <c r="A31" s="2"/>
      <c r="B31" s="40"/>
      <c r="C31" s="40"/>
      <c r="D31" s="30"/>
      <c r="E31" s="30"/>
      <c r="F31" s="30"/>
      <c r="G31" s="30"/>
      <c r="H31" s="30"/>
      <c r="I31" s="41"/>
      <c r="J31" s="31"/>
      <c r="K31" s="42"/>
      <c r="L31" s="8"/>
      <c r="M31" s="2"/>
      <c r="N31" s="2"/>
      <c r="O31" s="2"/>
      <c r="P31" s="7"/>
    </row>
    <row r="32" ht="16" customHeight="1">
      <c r="A32" s="9"/>
      <c r="B32" t="s" s="43">
        <v>0</v>
      </c>
      <c r="C32" t="s" s="43">
        <v>1</v>
      </c>
      <c r="D32" t="s" s="44">
        <v>2</v>
      </c>
      <c r="E32" t="s" s="44">
        <v>3</v>
      </c>
      <c r="F32" t="s" s="44">
        <v>4</v>
      </c>
      <c r="G32" t="s" s="44">
        <v>5</v>
      </c>
      <c r="H32" t="s" s="44">
        <v>6</v>
      </c>
      <c r="I32" t="s" s="44">
        <v>7</v>
      </c>
      <c r="J32" t="s" s="44">
        <v>8</v>
      </c>
      <c r="K32" s="35"/>
      <c r="L32" s="26"/>
      <c r="M32" s="2"/>
      <c r="N32" s="2"/>
      <c r="O32" s="2"/>
      <c r="P32" s="7"/>
    </row>
    <row r="33" ht="16" customHeight="1">
      <c r="A33" s="9"/>
      <c r="B33" t="s" s="15">
        <v>37</v>
      </c>
      <c r="C33" t="s" s="11">
        <v>10</v>
      </c>
      <c r="D33" s="16">
        <v>743.02</v>
      </c>
      <c r="E33" s="16">
        <v>20390.93</v>
      </c>
      <c r="F33" s="16">
        <v>11.26</v>
      </c>
      <c r="G33" s="16">
        <v>890.87</v>
      </c>
      <c r="H33" s="16">
        <f>SUM(D33:G33)</f>
        <v>22036.08</v>
      </c>
      <c r="I33" s="17">
        <v>1951.09</v>
      </c>
      <c r="J33" s="17">
        <f>H33-I33</f>
        <v>20084.99</v>
      </c>
      <c r="K33" s="18">
        <f>J33*3600</f>
        <v>72305964</v>
      </c>
      <c r="L33" s="36">
        <f>I33/H33</f>
        <v>0.088540702339073</v>
      </c>
      <c r="M33" s="2"/>
      <c r="N33" s="2"/>
      <c r="O33" s="2"/>
      <c r="P33" s="7"/>
    </row>
    <row r="34" ht="16" customHeight="1">
      <c r="A34" s="9"/>
      <c r="B34" t="s" s="15">
        <v>38</v>
      </c>
      <c r="C34" t="s" s="11">
        <v>10</v>
      </c>
      <c r="D34" s="16">
        <v>725.17</v>
      </c>
      <c r="E34" s="16">
        <v>11329</v>
      </c>
      <c r="F34" s="16">
        <v>4.03</v>
      </c>
      <c r="G34" s="16">
        <v>415.03</v>
      </c>
      <c r="H34" s="16">
        <f>SUM(D34:G34)</f>
        <v>12473.23</v>
      </c>
      <c r="I34" s="17">
        <v>3104.32</v>
      </c>
      <c r="J34" s="17">
        <f>H34-I34</f>
        <v>9368.91</v>
      </c>
      <c r="K34" s="18">
        <f>J34*3600</f>
        <v>33728076</v>
      </c>
      <c r="L34" s="36">
        <f>I34/H34</f>
        <v>0.248878598406347</v>
      </c>
      <c r="M34" s="2"/>
      <c r="N34" s="2"/>
      <c r="O34" s="2"/>
      <c r="P34" s="7"/>
    </row>
    <row r="35" ht="16" customHeight="1">
      <c r="A35" s="9"/>
      <c r="B35" t="s" s="15">
        <v>39</v>
      </c>
      <c r="C35" t="s" s="11">
        <v>10</v>
      </c>
      <c r="D35" s="16">
        <v>670.03</v>
      </c>
      <c r="E35" s="16">
        <v>16530.57</v>
      </c>
      <c r="F35" s="16">
        <v>2.58</v>
      </c>
      <c r="G35" s="16">
        <v>184.36</v>
      </c>
      <c r="H35" s="16">
        <f>SUM(D35:G35)</f>
        <v>17387.54</v>
      </c>
      <c r="I35" s="45"/>
      <c r="J35" s="17">
        <f>H35-I35</f>
        <v>17387.54</v>
      </c>
      <c r="K35" s="18">
        <f>J35*3600</f>
        <v>62595144</v>
      </c>
      <c r="L35" s="36"/>
      <c r="M35" s="2"/>
      <c r="N35" s="46"/>
      <c r="O35" s="2"/>
      <c r="P35" s="7"/>
    </row>
    <row r="36" ht="16" customHeight="1">
      <c r="A36" s="9"/>
      <c r="B36" t="s" s="15">
        <v>40</v>
      </c>
      <c r="C36" t="s" s="11">
        <v>10</v>
      </c>
      <c r="D36" s="16">
        <v>198.81</v>
      </c>
      <c r="E36" s="16">
        <v>4339.81</v>
      </c>
      <c r="F36" s="16">
        <v>0.99</v>
      </c>
      <c r="G36" s="16">
        <v>57.7</v>
      </c>
      <c r="H36" s="16">
        <f>SUM(D36:G36)</f>
        <v>4597.31</v>
      </c>
      <c r="I36" s="45"/>
      <c r="J36" s="17">
        <f>H36-I36</f>
        <v>4597.31</v>
      </c>
      <c r="K36" s="47">
        <f>J36*4100</f>
        <v>18848971</v>
      </c>
      <c r="L36" s="36"/>
      <c r="M36" s="2"/>
      <c r="N36" s="2"/>
      <c r="O36" s="2"/>
      <c r="P36" s="7"/>
    </row>
    <row r="37" ht="16" customHeight="1">
      <c r="A37" s="9"/>
      <c r="B37" t="s" s="15">
        <v>41</v>
      </c>
      <c r="C37" t="s" s="11">
        <v>10</v>
      </c>
      <c r="D37" s="16"/>
      <c r="E37" s="16"/>
      <c r="F37" s="16"/>
      <c r="G37" s="16"/>
      <c r="H37" s="16">
        <f>SUM(D37:G37)</f>
        <v>0</v>
      </c>
      <c r="I37" s="45"/>
      <c r="J37" s="17">
        <f>H37-I37</f>
        <v>0</v>
      </c>
      <c r="K37" s="18">
        <f>J37*4100</f>
        <v>0</v>
      </c>
      <c r="L37" s="26"/>
      <c r="M37" s="2"/>
      <c r="N37" s="2"/>
      <c r="O37" s="2"/>
      <c r="P37" s="7"/>
    </row>
    <row r="38" ht="16" customHeight="1">
      <c r="A38" s="9"/>
      <c r="B38" t="s" s="15">
        <v>42</v>
      </c>
      <c r="C38" t="s" s="11">
        <v>10</v>
      </c>
      <c r="D38" s="16"/>
      <c r="E38" s="16"/>
      <c r="F38" s="16"/>
      <c r="G38" s="16"/>
      <c r="H38" s="16">
        <f>SUM(D38:G38)</f>
        <v>0</v>
      </c>
      <c r="I38" s="45"/>
      <c r="J38" s="17">
        <f>H38-I38</f>
        <v>0</v>
      </c>
      <c r="K38" s="18">
        <f>J38*4000</f>
        <v>0</v>
      </c>
      <c r="L38" s="26"/>
      <c r="M38" s="2"/>
      <c r="N38" s="2"/>
      <c r="O38" s="2"/>
      <c r="P38" s="7"/>
    </row>
    <row r="39" ht="16" customHeight="1">
      <c r="A39" s="9"/>
      <c r="B39" t="s" s="15">
        <v>43</v>
      </c>
      <c r="C39" t="s" s="11">
        <v>10</v>
      </c>
      <c r="D39" s="16"/>
      <c r="E39" s="16"/>
      <c r="F39" s="16"/>
      <c r="G39" s="16"/>
      <c r="H39" s="16">
        <f>SUM(D39:G39)</f>
        <v>0</v>
      </c>
      <c r="I39" s="45"/>
      <c r="J39" s="17">
        <f>H39-I39</f>
        <v>0</v>
      </c>
      <c r="K39" s="18">
        <f>(J39*4050)*85%</f>
        <v>0</v>
      </c>
      <c r="L39" s="26"/>
      <c r="M39" s="2"/>
      <c r="N39" s="2"/>
      <c r="O39" s="2"/>
      <c r="P39" s="7"/>
    </row>
    <row r="40" ht="16" customHeight="1">
      <c r="A40" s="9"/>
      <c r="B40" t="s" s="15">
        <v>44</v>
      </c>
      <c r="C40" t="s" s="11">
        <v>10</v>
      </c>
      <c r="D40" s="16"/>
      <c r="E40" s="16"/>
      <c r="F40" s="16"/>
      <c r="G40" s="16"/>
      <c r="H40" s="16">
        <f>SUM(D40:G40)</f>
        <v>0</v>
      </c>
      <c r="I40" s="45"/>
      <c r="J40" s="17">
        <f>H40-I40</f>
        <v>0</v>
      </c>
      <c r="K40" s="18">
        <f>(J40*4050)*85%</f>
        <v>0</v>
      </c>
      <c r="L40" s="26"/>
      <c r="M40" s="2"/>
      <c r="N40" s="2"/>
      <c r="O40" s="2"/>
      <c r="P40" s="7"/>
    </row>
    <row r="41" ht="16" customHeight="1">
      <c r="A41" s="9"/>
      <c r="B41" t="s" s="15">
        <v>45</v>
      </c>
      <c r="C41" t="s" s="11">
        <v>10</v>
      </c>
      <c r="D41" s="16"/>
      <c r="E41" s="16"/>
      <c r="F41" s="16"/>
      <c r="G41" s="16"/>
      <c r="H41" s="16">
        <f>SUM(D41:G41)</f>
        <v>0</v>
      </c>
      <c r="I41" s="45"/>
      <c r="J41" s="17">
        <f>H41-I41</f>
        <v>0</v>
      </c>
      <c r="K41" s="18">
        <f>(J41*3900)*85%</f>
        <v>0</v>
      </c>
      <c r="L41" s="26"/>
      <c r="M41" s="2"/>
      <c r="N41" s="2"/>
      <c r="O41" s="2"/>
      <c r="P41" s="7"/>
    </row>
    <row r="42" ht="16" customHeight="1">
      <c r="A42" s="9"/>
      <c r="B42" t="s" s="15">
        <v>46</v>
      </c>
      <c r="C42" t="s" s="11">
        <v>10</v>
      </c>
      <c r="D42" s="16"/>
      <c r="E42" s="16"/>
      <c r="F42" s="16"/>
      <c r="G42" s="16"/>
      <c r="H42" s="16">
        <f>SUM(D42:G42)</f>
        <v>0</v>
      </c>
      <c r="I42" s="45"/>
      <c r="J42" s="17">
        <f>H42-I42</f>
        <v>0</v>
      </c>
      <c r="K42" s="18">
        <f>(J42*3900)*85%</f>
        <v>0</v>
      </c>
      <c r="L42" s="26"/>
      <c r="M42" s="2"/>
      <c r="N42" s="2"/>
      <c r="O42" s="2"/>
      <c r="P42" s="7"/>
    </row>
    <row r="43" ht="16" customHeight="1">
      <c r="A43" s="9"/>
      <c r="B43" t="s" s="15">
        <v>47</v>
      </c>
      <c r="C43" t="s" s="11">
        <v>10</v>
      </c>
      <c r="D43" s="16"/>
      <c r="E43" s="16"/>
      <c r="F43" s="16"/>
      <c r="G43" s="16"/>
      <c r="H43" s="16">
        <f>SUM(D43:G43)</f>
        <v>0</v>
      </c>
      <c r="I43" s="45"/>
      <c r="J43" s="17">
        <f>H43-I43</f>
        <v>0</v>
      </c>
      <c r="K43" s="18">
        <f>(J43*3900)*85%</f>
        <v>0</v>
      </c>
      <c r="L43" s="26"/>
      <c r="M43" s="2"/>
      <c r="N43" s="2"/>
      <c r="O43" s="2"/>
      <c r="P43" s="7"/>
    </row>
    <row r="44" ht="16" customHeight="1">
      <c r="A44" s="9"/>
      <c r="B44" t="s" s="15">
        <v>48</v>
      </c>
      <c r="C44" t="s" s="11">
        <v>10</v>
      </c>
      <c r="D44" s="16"/>
      <c r="E44" s="16"/>
      <c r="F44" s="16"/>
      <c r="G44" s="16"/>
      <c r="H44" s="16">
        <f>SUM(D44:G44)</f>
        <v>0</v>
      </c>
      <c r="I44" s="45"/>
      <c r="J44" s="48">
        <f>H44-I44</f>
        <v>0</v>
      </c>
      <c r="K44" s="49">
        <f>(J44*3900)*85%</f>
        <v>0</v>
      </c>
      <c r="L44" s="26"/>
      <c r="M44" s="2"/>
      <c r="N44" s="2"/>
      <c r="O44" s="2"/>
      <c r="P44" s="7"/>
    </row>
    <row r="45" ht="16" customHeight="1">
      <c r="A45" s="2"/>
      <c r="B45" s="50"/>
      <c r="C45" s="50"/>
      <c r="D45" s="51"/>
      <c r="E45" s="51"/>
      <c r="F45" s="51"/>
      <c r="G45" s="51"/>
      <c r="H45" s="51"/>
      <c r="I45" s="52"/>
      <c r="J45" s="53"/>
      <c r="K45" s="42"/>
      <c r="L45" s="8"/>
      <c r="M45" s="2"/>
      <c r="N45" s="2"/>
      <c r="O45" s="2"/>
      <c r="P45" s="7"/>
    </row>
    <row r="46" ht="16" customHeight="1">
      <c r="A46" s="2"/>
      <c r="B46" s="54"/>
      <c r="C46" s="3"/>
      <c r="D46" s="55"/>
      <c r="E46" s="55"/>
      <c r="F46" s="55"/>
      <c r="G46" s="55"/>
      <c r="H46" s="55"/>
      <c r="I46" s="21"/>
      <c r="J46" s="21"/>
      <c r="K46" s="7"/>
      <c r="L46" s="8"/>
      <c r="M46" s="2"/>
      <c r="N46" s="2"/>
      <c r="O46" s="2"/>
      <c r="P46" s="7"/>
    </row>
    <row r="47" ht="16" customHeight="1">
      <c r="A47" s="9"/>
      <c r="B47" t="s" s="56">
        <v>0</v>
      </c>
      <c r="C47" t="s" s="10">
        <v>1</v>
      </c>
      <c r="D47" t="s" s="10">
        <v>49</v>
      </c>
      <c r="E47" t="s" s="10">
        <v>3</v>
      </c>
      <c r="F47" t="s" s="10">
        <v>50</v>
      </c>
      <c r="G47" t="s" s="10">
        <v>51</v>
      </c>
      <c r="H47" t="s" s="10">
        <v>8</v>
      </c>
      <c r="I47" s="57"/>
      <c r="J47" s="6"/>
      <c r="K47" s="7"/>
      <c r="L47" s="8"/>
      <c r="M47" s="2"/>
      <c r="N47" s="2"/>
      <c r="O47" s="2"/>
      <c r="P47" s="7"/>
    </row>
    <row r="48" ht="16" customHeight="1">
      <c r="A48" s="9"/>
      <c r="B48" t="s" s="15">
        <v>12</v>
      </c>
      <c r="C48" t="s" s="11">
        <v>52</v>
      </c>
      <c r="D48" s="24">
        <v>354</v>
      </c>
      <c r="E48" s="24">
        <v>154</v>
      </c>
      <c r="F48" s="24"/>
      <c r="G48" s="24"/>
      <c r="H48" s="24">
        <f>SUM(D48:F48)</f>
        <v>508</v>
      </c>
      <c r="I48" s="58"/>
      <c r="J48" s="18">
        <f>H48*4400</f>
        <v>2235200</v>
      </c>
      <c r="K48" s="59"/>
      <c r="L48" s="8"/>
      <c r="M48" s="2"/>
      <c r="N48" s="2"/>
      <c r="O48" s="2"/>
      <c r="P48" s="7"/>
    </row>
    <row r="49" ht="16" customHeight="1">
      <c r="A49" s="9"/>
      <c r="B49" t="s" s="15">
        <v>13</v>
      </c>
      <c r="C49" t="s" s="11">
        <v>52</v>
      </c>
      <c r="D49" s="24">
        <v>1578</v>
      </c>
      <c r="E49" s="24">
        <v>29</v>
      </c>
      <c r="F49" s="24"/>
      <c r="G49" s="24"/>
      <c r="H49" s="24">
        <f>SUM(D49:F49)</f>
        <v>1607</v>
      </c>
      <c r="I49" s="58"/>
      <c r="J49" s="18">
        <f>H49*4400</f>
        <v>7070800</v>
      </c>
      <c r="K49" s="59"/>
      <c r="L49" s="8"/>
      <c r="M49" s="2"/>
      <c r="N49" s="2"/>
      <c r="O49" s="2"/>
      <c r="P49" s="7"/>
    </row>
    <row r="50" ht="16" customHeight="1">
      <c r="A50" s="9"/>
      <c r="B50" t="s" s="15">
        <v>15</v>
      </c>
      <c r="C50" t="s" s="11">
        <v>52</v>
      </c>
      <c r="D50" s="24">
        <v>392</v>
      </c>
      <c r="E50" s="24">
        <v>465</v>
      </c>
      <c r="F50" s="24"/>
      <c r="G50" s="24"/>
      <c r="H50" s="24">
        <f>SUM(D50:F50)</f>
        <v>857</v>
      </c>
      <c r="I50" s="58"/>
      <c r="J50" s="18">
        <f>H50*4400</f>
        <v>3770800</v>
      </c>
      <c r="K50" s="59"/>
      <c r="L50" s="8"/>
      <c r="M50" s="2"/>
      <c r="N50" s="2"/>
      <c r="O50" s="2"/>
      <c r="P50" s="7"/>
    </row>
    <row r="51" ht="16" customHeight="1">
      <c r="A51" s="9"/>
      <c r="B51" t="s" s="15">
        <v>16</v>
      </c>
      <c r="C51" t="s" s="11">
        <v>52</v>
      </c>
      <c r="D51" s="24">
        <v>357</v>
      </c>
      <c r="E51" s="24">
        <v>123</v>
      </c>
      <c r="F51" s="24">
        <v>6</v>
      </c>
      <c r="G51" s="24"/>
      <c r="H51" s="24">
        <f>SUM(D51:F51)</f>
        <v>486</v>
      </c>
      <c r="I51" s="58"/>
      <c r="J51" s="18">
        <f>H51*4400</f>
        <v>2138400</v>
      </c>
      <c r="K51" s="59"/>
      <c r="L51" s="8"/>
      <c r="M51" s="2"/>
      <c r="N51" s="2"/>
      <c r="O51" s="2"/>
      <c r="P51" s="7"/>
    </row>
    <row r="52" ht="16" customHeight="1">
      <c r="A52" s="9"/>
      <c r="B52" t="s" s="15">
        <v>17</v>
      </c>
      <c r="C52" t="s" s="11">
        <v>52</v>
      </c>
      <c r="D52" s="24">
        <v>1062.38</v>
      </c>
      <c r="E52" s="24">
        <v>51</v>
      </c>
      <c r="F52" s="24">
        <v>248.05</v>
      </c>
      <c r="G52" s="24"/>
      <c r="H52" s="24">
        <f>SUM(D52:F52)</f>
        <v>1361.43</v>
      </c>
      <c r="I52" s="58"/>
      <c r="J52" s="18">
        <f>H52*4400</f>
        <v>5990292</v>
      </c>
      <c r="K52" s="59"/>
      <c r="L52" s="8"/>
      <c r="M52" s="2"/>
      <c r="N52" s="2"/>
      <c r="O52" s="2"/>
      <c r="P52" s="7"/>
    </row>
    <row r="53" ht="16" customHeight="1">
      <c r="A53" s="9"/>
      <c r="B53" t="s" s="15">
        <v>18</v>
      </c>
      <c r="C53" t="s" s="11">
        <v>52</v>
      </c>
      <c r="D53" s="24">
        <v>498.27</v>
      </c>
      <c r="E53" s="24">
        <v>35.86</v>
      </c>
      <c r="F53" s="24">
        <v>187.91</v>
      </c>
      <c r="G53" s="24"/>
      <c r="H53" s="24">
        <f>SUM(D53:F53)</f>
        <v>722.04</v>
      </c>
      <c r="I53" s="58"/>
      <c r="J53" s="18">
        <f>H53*4400</f>
        <v>3176976</v>
      </c>
      <c r="K53" s="59"/>
      <c r="L53" s="8"/>
      <c r="M53" s="2"/>
      <c r="N53" s="2"/>
      <c r="O53" s="2"/>
      <c r="P53" s="7"/>
    </row>
    <row r="54" ht="16" customHeight="1">
      <c r="A54" s="9"/>
      <c r="B54" t="s" s="15">
        <v>19</v>
      </c>
      <c r="C54" t="s" s="11">
        <v>52</v>
      </c>
      <c r="D54" s="24">
        <v>320.97</v>
      </c>
      <c r="E54" s="24">
        <v>23.94</v>
      </c>
      <c r="F54" s="24">
        <v>195.79</v>
      </c>
      <c r="G54" s="24"/>
      <c r="H54" s="24">
        <f>SUM(D54:F54)</f>
        <v>540.7</v>
      </c>
      <c r="I54" s="58"/>
      <c r="J54" s="18">
        <f>H54*4400</f>
        <v>2379080</v>
      </c>
      <c r="K54" s="59"/>
      <c r="L54" s="8"/>
      <c r="M54" s="2"/>
      <c r="N54" s="2"/>
      <c r="O54" s="2"/>
      <c r="P54" s="7"/>
    </row>
    <row r="55" ht="16" customHeight="1">
      <c r="A55" s="9"/>
      <c r="B55" t="s" s="15">
        <v>20</v>
      </c>
      <c r="C55" t="s" s="11">
        <v>52</v>
      </c>
      <c r="D55" s="24">
        <v>214.54</v>
      </c>
      <c r="E55" s="24">
        <v>18.1</v>
      </c>
      <c r="F55" s="24">
        <v>98.05</v>
      </c>
      <c r="G55" s="24"/>
      <c r="H55" s="60">
        <f>SUM(D55:F55)</f>
        <v>330.69</v>
      </c>
      <c r="I55" s="58"/>
      <c r="J55" s="18">
        <f>H55*4400</f>
        <v>1455036</v>
      </c>
      <c r="K55" s="59"/>
      <c r="L55" s="8"/>
      <c r="M55" s="2"/>
      <c r="N55" s="2"/>
      <c r="O55" s="2"/>
      <c r="P55" s="7"/>
    </row>
    <row r="56" ht="16" customHeight="1">
      <c r="A56" s="9"/>
      <c r="B56" t="s" s="15">
        <v>21</v>
      </c>
      <c r="C56" t="s" s="11">
        <v>52</v>
      </c>
      <c r="D56" s="61">
        <v>227.23</v>
      </c>
      <c r="E56" s="24">
        <v>199.83</v>
      </c>
      <c r="F56" s="24">
        <v>125.54</v>
      </c>
      <c r="G56" s="24"/>
      <c r="H56" s="24">
        <f>SUM(D56:F56)</f>
        <v>552.6</v>
      </c>
      <c r="I56" s="58"/>
      <c r="J56" s="18">
        <f>H56*4400</f>
        <v>2431440</v>
      </c>
      <c r="K56" s="59"/>
      <c r="L56" s="21"/>
      <c r="M56" s="2"/>
      <c r="N56" s="2"/>
      <c r="O56" s="2"/>
      <c r="P56" s="7"/>
    </row>
    <row r="57" ht="16" customHeight="1">
      <c r="A57" s="9"/>
      <c r="B57" t="s" s="15">
        <v>22</v>
      </c>
      <c r="C57" t="s" s="11">
        <v>52</v>
      </c>
      <c r="D57" s="24">
        <v>85.43000000000001</v>
      </c>
      <c r="E57" s="24">
        <v>54.26</v>
      </c>
      <c r="F57" s="24">
        <v>56.08</v>
      </c>
      <c r="G57" s="24">
        <v>40.92</v>
      </c>
      <c r="H57" s="24">
        <f>SUM(D57:G57)</f>
        <v>236.69</v>
      </c>
      <c r="I57" s="58"/>
      <c r="J57" s="18">
        <f>H57*4400</f>
        <v>1041436</v>
      </c>
      <c r="K57" s="59"/>
      <c r="L57" s="21"/>
      <c r="M57" s="2"/>
      <c r="N57" s="2"/>
      <c r="O57" s="2"/>
      <c r="P57" s="7"/>
    </row>
    <row r="58" ht="16" customHeight="1">
      <c r="A58" s="9"/>
      <c r="B58" t="s" s="15">
        <v>23</v>
      </c>
      <c r="C58" t="s" s="11">
        <v>52</v>
      </c>
      <c r="D58" s="24">
        <v>66.53</v>
      </c>
      <c r="E58" s="24">
        <v>46.73</v>
      </c>
      <c r="F58" s="24">
        <v>10.09</v>
      </c>
      <c r="G58" s="24">
        <v>214.95</v>
      </c>
      <c r="H58" s="24">
        <f>SUM(D58:G58)</f>
        <v>338.3</v>
      </c>
      <c r="I58" s="62"/>
      <c r="J58" s="18">
        <f>H58*4300</f>
        <v>1454690</v>
      </c>
      <c r="K58" s="59"/>
      <c r="L58" s="8"/>
      <c r="M58" s="2"/>
      <c r="N58" s="2"/>
      <c r="O58" s="2"/>
      <c r="P58" s="7"/>
    </row>
    <row r="59" ht="16" customHeight="1">
      <c r="A59" s="9"/>
      <c r="B59" t="s" s="15">
        <v>53</v>
      </c>
      <c r="C59" t="s" s="11">
        <v>52</v>
      </c>
      <c r="D59" s="24">
        <f>SUM(D48:D58)</f>
        <v>5156.35</v>
      </c>
      <c r="E59" s="24">
        <f>SUM(E48:E58)</f>
        <v>1200.72</v>
      </c>
      <c r="F59" s="24">
        <f>SUM(F48:F58)</f>
        <v>927.51</v>
      </c>
      <c r="G59" s="24">
        <f>SUM(G57:G58)</f>
        <v>255.87</v>
      </c>
      <c r="H59" s="24">
        <f>SUM(H48:H62)</f>
      </c>
      <c r="I59" s="63"/>
      <c r="J59" s="32"/>
      <c r="K59" s="7"/>
      <c r="L59" s="8"/>
      <c r="M59" s="2"/>
      <c r="N59" s="2"/>
      <c r="O59" s="2"/>
      <c r="P59" s="7"/>
    </row>
    <row r="60" ht="16" customHeight="1">
      <c r="A60" s="2"/>
      <c r="B60" s="64"/>
      <c r="C60" s="65"/>
      <c r="D60" s="66"/>
      <c r="E60" s="67"/>
      <c r="F60" s="67"/>
      <c r="G60" s="68"/>
      <c r="H60" s="24"/>
      <c r="I60" s="63"/>
      <c r="J60" s="7"/>
      <c r="K60" s="7"/>
      <c r="L60" s="8"/>
      <c r="M60" s="2"/>
      <c r="N60" s="2"/>
      <c r="O60" s="2"/>
      <c r="P60" s="7"/>
    </row>
    <row r="61" ht="16" customHeight="1">
      <c r="A61" s="9"/>
      <c r="B61" t="s" s="69">
        <v>0</v>
      </c>
      <c r="C61" t="s" s="33">
        <v>1</v>
      </c>
      <c r="D61" t="s" s="33">
        <v>49</v>
      </c>
      <c r="E61" t="s" s="33">
        <v>3</v>
      </c>
      <c r="F61" t="s" s="33">
        <v>50</v>
      </c>
      <c r="G61" t="s" s="33">
        <v>51</v>
      </c>
      <c r="H61" t="s" s="33">
        <v>8</v>
      </c>
      <c r="I61" s="63"/>
      <c r="J61" s="6"/>
      <c r="K61" s="7"/>
      <c r="L61" s="8"/>
      <c r="M61" s="2"/>
      <c r="N61" s="2"/>
      <c r="O61" s="2"/>
      <c r="P61" s="7"/>
    </row>
    <row r="62" ht="16" customHeight="1">
      <c r="A62" s="9"/>
      <c r="B62" t="s" s="15">
        <v>24</v>
      </c>
      <c r="C62" t="s" s="11">
        <v>52</v>
      </c>
      <c r="D62" s="16">
        <v>36.91</v>
      </c>
      <c r="E62" s="16">
        <v>60.16</v>
      </c>
      <c r="F62" s="16">
        <v>93.83</v>
      </c>
      <c r="G62" s="16">
        <v>110.8</v>
      </c>
      <c r="H62" s="16">
        <f>SUM(D62:G62)</f>
        <v>301.7</v>
      </c>
      <c r="I62" s="62"/>
      <c r="J62" s="18">
        <f>H62*4100</f>
        <v>1236970</v>
      </c>
      <c r="K62" s="59"/>
      <c r="L62" s="8"/>
      <c r="M62" s="2"/>
      <c r="N62" s="2"/>
      <c r="O62" s="2"/>
      <c r="P62" s="7"/>
    </row>
    <row r="63" ht="16" customHeight="1">
      <c r="A63" s="9"/>
      <c r="B63" t="s" s="15">
        <v>26</v>
      </c>
      <c r="C63" t="s" s="11">
        <v>52</v>
      </c>
      <c r="D63" s="16">
        <v>137.02</v>
      </c>
      <c r="E63" s="16">
        <v>84.75</v>
      </c>
      <c r="F63" s="16">
        <v>18.7</v>
      </c>
      <c r="G63" s="16">
        <v>93.63</v>
      </c>
      <c r="H63" s="16">
        <f>SUM(D63:G63)</f>
        <v>334.1</v>
      </c>
      <c r="I63" s="62"/>
      <c r="J63" s="18">
        <f>H63*4100</f>
        <v>1369810</v>
      </c>
      <c r="K63" s="59"/>
      <c r="L63" s="8"/>
      <c r="M63" s="2"/>
      <c r="N63" s="2"/>
      <c r="O63" s="2"/>
      <c r="P63" s="7"/>
    </row>
    <row r="64" ht="16" customHeight="1">
      <c r="A64" s="9"/>
      <c r="B64" t="s" s="15">
        <v>27</v>
      </c>
      <c r="C64" t="s" s="11">
        <v>52</v>
      </c>
      <c r="D64" s="16">
        <v>60.96</v>
      </c>
      <c r="E64" s="16">
        <v>80.42</v>
      </c>
      <c r="F64" s="16">
        <v>10.63</v>
      </c>
      <c r="G64" s="16">
        <v>86.97</v>
      </c>
      <c r="H64" s="16">
        <f>SUM(D64:G64)</f>
        <v>238.98</v>
      </c>
      <c r="I64" s="62"/>
      <c r="J64" s="18">
        <f>H64*4200</f>
        <v>1003716</v>
      </c>
      <c r="K64" s="59"/>
      <c r="L64" s="8"/>
      <c r="M64" s="2"/>
      <c r="N64" s="2"/>
      <c r="O64" s="2"/>
      <c r="P64" s="7"/>
    </row>
    <row r="65" ht="16" customHeight="1">
      <c r="A65" s="9"/>
      <c r="B65" t="s" s="15">
        <v>28</v>
      </c>
      <c r="C65" t="s" s="11">
        <v>52</v>
      </c>
      <c r="D65" s="16">
        <v>77.45999999999999</v>
      </c>
      <c r="E65" s="16">
        <v>158.81</v>
      </c>
      <c r="F65" s="16">
        <v>25.2</v>
      </c>
      <c r="G65" s="16">
        <v>53.64</v>
      </c>
      <c r="H65" s="16">
        <f>SUM(D65:G65)</f>
        <v>315.11</v>
      </c>
      <c r="I65" s="62"/>
      <c r="J65" s="18">
        <f>H65*4300</f>
        <v>1354973</v>
      </c>
      <c r="K65" s="59"/>
      <c r="L65" s="8"/>
      <c r="M65" s="2"/>
      <c r="N65" s="2"/>
      <c r="O65" s="2"/>
      <c r="P65" s="7"/>
    </row>
    <row r="66" ht="16" customHeight="1">
      <c r="A66" s="9"/>
      <c r="B66" t="s" s="15">
        <v>29</v>
      </c>
      <c r="C66" t="s" s="11">
        <v>52</v>
      </c>
      <c r="D66" s="16">
        <v>235.11</v>
      </c>
      <c r="E66" s="16">
        <v>160.47</v>
      </c>
      <c r="F66" s="16">
        <v>36.96</v>
      </c>
      <c r="G66" s="16">
        <v>132.22</v>
      </c>
      <c r="H66" s="16">
        <f>SUM(D66:G66)</f>
        <v>564.76</v>
      </c>
      <c r="I66" s="62"/>
      <c r="J66" s="18">
        <f>H66*4300</f>
        <v>2428468</v>
      </c>
      <c r="K66" s="59"/>
      <c r="L66" s="8"/>
      <c r="M66" s="2"/>
      <c r="N66" s="2"/>
      <c r="O66" s="2"/>
      <c r="P66" s="7"/>
    </row>
    <row r="67" ht="16" customHeight="1">
      <c r="A67" s="9"/>
      <c r="B67" t="s" s="15">
        <v>30</v>
      </c>
      <c r="C67" t="s" s="11">
        <v>52</v>
      </c>
      <c r="D67" s="16">
        <v>183.72</v>
      </c>
      <c r="E67" s="16">
        <v>504.69</v>
      </c>
      <c r="F67" s="16">
        <v>24.72</v>
      </c>
      <c r="G67" s="16">
        <v>47.27</v>
      </c>
      <c r="H67" s="16">
        <f>SUM(D67:G67)</f>
        <v>760.4</v>
      </c>
      <c r="I67" s="62"/>
      <c r="J67" s="18">
        <f>H67*4150</f>
        <v>3155660</v>
      </c>
      <c r="K67" s="59"/>
      <c r="L67" s="8"/>
      <c r="M67" s="2"/>
      <c r="N67" s="2"/>
      <c r="O67" s="2"/>
      <c r="P67" s="7"/>
    </row>
    <row r="68" ht="16" customHeight="1">
      <c r="A68" s="9"/>
      <c r="B68" t="s" s="15">
        <v>31</v>
      </c>
      <c r="C68" t="s" s="11">
        <v>52</v>
      </c>
      <c r="D68" s="16">
        <v>115.12</v>
      </c>
      <c r="E68" s="16">
        <v>230.59</v>
      </c>
      <c r="F68" s="16">
        <v>16.91</v>
      </c>
      <c r="G68" s="16">
        <v>40.82</v>
      </c>
      <c r="H68" s="16">
        <f>SUM(D68:G68)</f>
        <v>403.44</v>
      </c>
      <c r="I68" s="62"/>
      <c r="J68" s="18">
        <f>H68*4050</f>
        <v>1633932</v>
      </c>
      <c r="K68" s="59"/>
      <c r="L68" s="8"/>
      <c r="M68" s="2"/>
      <c r="N68" s="2"/>
      <c r="O68" s="2"/>
      <c r="P68" s="7"/>
    </row>
    <row r="69" ht="16" customHeight="1">
      <c r="A69" s="9"/>
      <c r="B69" t="s" s="15">
        <v>32</v>
      </c>
      <c r="C69" t="s" s="11">
        <v>52</v>
      </c>
      <c r="D69" s="16">
        <v>173.94</v>
      </c>
      <c r="E69" s="16">
        <f>714.66+340.8+0.09</f>
        <v>1055.55</v>
      </c>
      <c r="F69" s="16">
        <v>28.25</v>
      </c>
      <c r="G69" s="16">
        <v>28.25</v>
      </c>
      <c r="H69" s="16">
        <f>SUM(D69:G69)</f>
        <v>1285.99</v>
      </c>
      <c r="I69" s="62"/>
      <c r="J69" s="18">
        <f>H69*4050</f>
        <v>5208259.5</v>
      </c>
      <c r="K69" s="59"/>
      <c r="L69" s="8"/>
      <c r="M69" s="2"/>
      <c r="N69" s="2"/>
      <c r="O69" s="2"/>
      <c r="P69" s="7"/>
    </row>
    <row r="70" ht="16" customHeight="1">
      <c r="A70" s="9"/>
      <c r="B70" t="s" s="15">
        <v>33</v>
      </c>
      <c r="C70" t="s" s="11">
        <v>52</v>
      </c>
      <c r="D70" s="16">
        <v>369.81</v>
      </c>
      <c r="E70" s="16">
        <v>2372.09</v>
      </c>
      <c r="F70" s="16">
        <v>19.58</v>
      </c>
      <c r="G70" s="16">
        <v>13.96</v>
      </c>
      <c r="H70" s="16">
        <f>SUM(D70:G70)</f>
        <v>2775.44</v>
      </c>
      <c r="I70" s="62"/>
      <c r="J70" s="18">
        <f>H70*3900</f>
        <v>10824216</v>
      </c>
      <c r="K70" s="59"/>
      <c r="L70" s="8"/>
      <c r="M70" s="2"/>
      <c r="N70" s="2"/>
      <c r="O70" s="2"/>
      <c r="P70" s="7"/>
    </row>
    <row r="71" ht="16" customHeight="1">
      <c r="A71" s="9"/>
      <c r="B71" t="s" s="15">
        <v>34</v>
      </c>
      <c r="C71" t="s" s="11">
        <v>52</v>
      </c>
      <c r="D71" s="16">
        <v>230.62</v>
      </c>
      <c r="E71" s="16">
        <f>3932.08+1.6</f>
        <v>3933.68</v>
      </c>
      <c r="F71" s="16">
        <v>7.62</v>
      </c>
      <c r="G71" s="16">
        <v>11.04</v>
      </c>
      <c r="H71" s="16">
        <f>SUM(D71:G71)</f>
        <v>4182.96</v>
      </c>
      <c r="I71" s="62"/>
      <c r="J71" s="18">
        <f>H71*3900</f>
        <v>16313544</v>
      </c>
      <c r="K71" s="59"/>
      <c r="L71" s="8"/>
      <c r="M71" s="2"/>
      <c r="N71" s="2"/>
      <c r="O71" s="2"/>
      <c r="P71" s="7"/>
    </row>
    <row r="72" ht="16" customHeight="1">
      <c r="A72" s="9"/>
      <c r="B72" t="s" s="15">
        <v>35</v>
      </c>
      <c r="C72" t="s" s="11">
        <v>52</v>
      </c>
      <c r="D72" s="16">
        <v>198.38</v>
      </c>
      <c r="E72" s="16">
        <v>2595.94</v>
      </c>
      <c r="F72" s="16">
        <v>0.18</v>
      </c>
      <c r="G72" s="16">
        <v>31.64</v>
      </c>
      <c r="H72" s="16">
        <f>SUM(D72:G72)</f>
        <v>2826.14</v>
      </c>
      <c r="I72" s="62"/>
      <c r="J72" s="18">
        <f>H72*3900</f>
        <v>11021946</v>
      </c>
      <c r="K72" s="59"/>
      <c r="L72" s="8"/>
      <c r="M72" s="2"/>
      <c r="N72" s="2"/>
      <c r="O72" s="2"/>
      <c r="P72" s="7"/>
    </row>
    <row r="73" ht="16" customHeight="1">
      <c r="A73" s="9"/>
      <c r="B73" t="s" s="15">
        <v>36</v>
      </c>
      <c r="C73" t="s" s="11">
        <v>52</v>
      </c>
      <c r="D73" s="16">
        <v>209.76</v>
      </c>
      <c r="E73" s="16">
        <v>3445.89</v>
      </c>
      <c r="F73" s="16">
        <v>0.18</v>
      </c>
      <c r="G73" s="16">
        <v>106.73</v>
      </c>
      <c r="H73" s="16">
        <f>SUM(D73:G73)</f>
        <v>3762.56</v>
      </c>
      <c r="I73" s="62"/>
      <c r="J73" s="18">
        <f>H73*3900</f>
        <v>14673984</v>
      </c>
      <c r="K73" s="59"/>
      <c r="L73" s="8"/>
      <c r="M73" s="2"/>
      <c r="N73" s="2"/>
      <c r="O73" s="2"/>
      <c r="P73" s="7"/>
    </row>
    <row r="74" ht="16" customHeight="1">
      <c r="A74" s="9"/>
      <c r="B74" t="s" s="15">
        <v>53</v>
      </c>
      <c r="C74" t="s" s="11">
        <v>52</v>
      </c>
      <c r="D74" s="70">
        <f>SUM(D62:D73)</f>
        <v>2028.81</v>
      </c>
      <c r="E74" s="70">
        <f>SUM(E62:E73)</f>
        <v>14683.04</v>
      </c>
      <c r="F74" s="70">
        <f>SUM(F62:F73)</f>
        <v>282.76</v>
      </c>
      <c r="G74" s="70">
        <f>SUM(G62:G73)</f>
        <v>756.97</v>
      </c>
      <c r="H74" s="70">
        <f>SUM(H62:H73)</f>
        <v>17751.58</v>
      </c>
      <c r="I74" s="63"/>
      <c r="J74" s="32"/>
      <c r="K74" s="7"/>
      <c r="L74" s="8"/>
      <c r="M74" s="2"/>
      <c r="N74" s="2"/>
      <c r="O74" s="2"/>
      <c r="P74" s="7"/>
    </row>
    <row r="75" ht="16" customHeight="1">
      <c r="A75" s="2"/>
      <c r="B75" s="40"/>
      <c r="C75" s="71"/>
      <c r="D75" s="72"/>
      <c r="E75" s="72"/>
      <c r="F75" s="72"/>
      <c r="G75" s="72"/>
      <c r="H75" s="72"/>
      <c r="I75" s="73"/>
      <c r="J75" s="7"/>
      <c r="K75" s="7"/>
      <c r="L75" s="8"/>
      <c r="M75" s="2"/>
      <c r="N75" s="2"/>
      <c r="O75" s="2"/>
      <c r="P75" s="7"/>
    </row>
    <row r="76" ht="16" customHeight="1">
      <c r="A76" s="9"/>
      <c r="B76" t="s" s="74">
        <v>0</v>
      </c>
      <c r="C76" t="s" s="43">
        <v>1</v>
      </c>
      <c r="D76" t="s" s="43">
        <v>49</v>
      </c>
      <c r="E76" t="s" s="43">
        <v>3</v>
      </c>
      <c r="F76" t="s" s="43">
        <v>50</v>
      </c>
      <c r="G76" t="s" s="43">
        <v>51</v>
      </c>
      <c r="H76" t="s" s="43">
        <v>8</v>
      </c>
      <c r="I76" s="63"/>
      <c r="J76" s="6"/>
      <c r="K76" s="7"/>
      <c r="L76" s="8"/>
      <c r="M76" s="2"/>
      <c r="N76" s="2"/>
      <c r="O76" s="2"/>
      <c r="P76" s="7"/>
    </row>
    <row r="77" ht="16" customHeight="1">
      <c r="A77" s="9"/>
      <c r="B77" t="s" s="15">
        <v>37</v>
      </c>
      <c r="C77" t="s" s="11">
        <v>52</v>
      </c>
      <c r="D77" s="16">
        <v>283.34</v>
      </c>
      <c r="E77" s="16">
        <f>9493.64+12.68+1.23</f>
        <v>9507.549999999999</v>
      </c>
      <c r="F77" s="16">
        <v>0.21</v>
      </c>
      <c r="G77" s="16">
        <v>1151.54</v>
      </c>
      <c r="H77" s="16">
        <f>SUM(D77:G77)</f>
        <v>10942.64</v>
      </c>
      <c r="I77" s="62"/>
      <c r="J77" s="18">
        <f>H77*3600</f>
        <v>39393504</v>
      </c>
      <c r="K77" s="59"/>
      <c r="L77" s="8"/>
      <c r="M77" s="2"/>
      <c r="N77" s="2"/>
      <c r="O77" s="2"/>
      <c r="P77" s="7"/>
    </row>
    <row r="78" ht="12.75" customHeight="1">
      <c r="A78" s="9"/>
      <c r="B78" t="s" s="15">
        <v>38</v>
      </c>
      <c r="C78" t="s" s="11">
        <v>52</v>
      </c>
      <c r="D78" s="16">
        <v>169.98</v>
      </c>
      <c r="E78" s="16">
        <f>4656.77+0.22+0.77</f>
        <v>4657.76</v>
      </c>
      <c r="F78" s="16">
        <v>0.15</v>
      </c>
      <c r="G78" s="16">
        <v>572.97</v>
      </c>
      <c r="H78" s="16">
        <f>SUM(D78:G78)</f>
        <v>5400.86</v>
      </c>
      <c r="I78" s="62"/>
      <c r="J78" s="18">
        <f>H78*3600</f>
        <v>19443096</v>
      </c>
      <c r="K78" s="59"/>
      <c r="L78" s="8"/>
      <c r="M78" s="2"/>
      <c r="N78" s="2"/>
      <c r="O78" s="2"/>
      <c r="P78" s="7"/>
    </row>
    <row r="79" ht="16" customHeight="1">
      <c r="A79" s="9"/>
      <c r="B79" t="s" s="15">
        <v>39</v>
      </c>
      <c r="C79" t="s" s="11">
        <v>52</v>
      </c>
      <c r="D79" s="16">
        <v>211.96</v>
      </c>
      <c r="E79" s="16">
        <f>5477.53+0.78+0.02</f>
        <v>5478.33</v>
      </c>
      <c r="F79" s="16">
        <v>0.12</v>
      </c>
      <c r="G79" s="16">
        <v>130.89</v>
      </c>
      <c r="H79" s="16">
        <f>SUM(D79:G79)</f>
        <v>5821.3</v>
      </c>
      <c r="I79" s="62"/>
      <c r="J79" s="18">
        <f>H79*3600</f>
        <v>20956680</v>
      </c>
      <c r="K79" s="59"/>
      <c r="L79" s="8"/>
      <c r="M79" s="2"/>
      <c r="N79" s="2"/>
      <c r="O79" s="2"/>
      <c r="P79" s="7"/>
    </row>
    <row r="80" ht="12.75" customHeight="1">
      <c r="A80" s="9"/>
      <c r="B80" t="s" s="15">
        <v>40</v>
      </c>
      <c r="C80" t="s" s="11">
        <v>52</v>
      </c>
      <c r="D80" s="16">
        <v>127.16</v>
      </c>
      <c r="E80" s="16">
        <v>1141.61</v>
      </c>
      <c r="F80" s="16">
        <v>0.07000000000000001</v>
      </c>
      <c r="G80" s="16">
        <v>15.69</v>
      </c>
      <c r="H80" s="16">
        <f>SUM(D80:G80)</f>
        <v>1284.53</v>
      </c>
      <c r="I80" s="62"/>
      <c r="J80" s="47">
        <f>H80*3600</f>
        <v>4624308</v>
      </c>
      <c r="K80" s="59"/>
      <c r="L80" s="21"/>
      <c r="M80" s="2"/>
      <c r="N80" s="2"/>
      <c r="O80" s="2"/>
      <c r="P80" s="7"/>
    </row>
    <row r="81" ht="12.75" customHeight="1">
      <c r="A81" s="9"/>
      <c r="B81" t="s" s="15">
        <v>41</v>
      </c>
      <c r="C81" t="s" s="11">
        <v>52</v>
      </c>
      <c r="D81" s="45"/>
      <c r="E81" s="45"/>
      <c r="F81" s="45"/>
      <c r="G81" s="45"/>
      <c r="H81" s="16">
        <f>SUM(D81:G81)</f>
        <v>0</v>
      </c>
      <c r="I81" s="62"/>
      <c r="J81" s="18">
        <f>H81*3600</f>
        <v>0</v>
      </c>
      <c r="K81" s="59"/>
      <c r="L81" s="8"/>
      <c r="M81" s="2"/>
      <c r="N81" s="2"/>
      <c r="O81" s="2"/>
      <c r="P81" s="7"/>
    </row>
    <row r="82" ht="12.75" customHeight="1">
      <c r="A82" s="9"/>
      <c r="B82" t="s" s="15">
        <v>42</v>
      </c>
      <c r="C82" t="s" s="11">
        <v>52</v>
      </c>
      <c r="D82" s="45"/>
      <c r="E82" s="45"/>
      <c r="F82" s="45"/>
      <c r="G82" s="45"/>
      <c r="H82" s="16">
        <f>SUM(D82:G82)</f>
        <v>0</v>
      </c>
      <c r="I82" s="62"/>
      <c r="J82" s="18">
        <f>H82*3600</f>
        <v>0</v>
      </c>
      <c r="K82" s="59"/>
      <c r="L82" s="8"/>
      <c r="M82" s="2"/>
      <c r="N82" s="2"/>
      <c r="O82" s="2"/>
      <c r="P82" s="7"/>
    </row>
    <row r="83" ht="12.75" customHeight="1">
      <c r="A83" s="9"/>
      <c r="B83" t="s" s="15">
        <v>43</v>
      </c>
      <c r="C83" t="s" s="11">
        <v>52</v>
      </c>
      <c r="D83" s="45"/>
      <c r="E83" s="45"/>
      <c r="F83" s="45"/>
      <c r="G83" s="45"/>
      <c r="H83" s="16">
        <f>SUM(D83:G83)</f>
        <v>0</v>
      </c>
      <c r="I83" s="62"/>
      <c r="J83" s="18">
        <f>H83*3600</f>
        <v>0</v>
      </c>
      <c r="K83" s="59"/>
      <c r="L83" s="8"/>
      <c r="M83" s="2"/>
      <c r="N83" s="2"/>
      <c r="O83" s="2"/>
      <c r="P83" s="7"/>
    </row>
    <row r="84" ht="12.75" customHeight="1">
      <c r="A84" s="9"/>
      <c r="B84" t="s" s="15">
        <v>44</v>
      </c>
      <c r="C84" t="s" s="11">
        <v>52</v>
      </c>
      <c r="D84" s="45"/>
      <c r="E84" s="45"/>
      <c r="F84" s="45"/>
      <c r="G84" s="45"/>
      <c r="H84" s="16">
        <f>SUM(D84:G84)</f>
        <v>0</v>
      </c>
      <c r="I84" s="62"/>
      <c r="J84" s="18">
        <f>H84*3600</f>
        <v>0</v>
      </c>
      <c r="K84" s="59"/>
      <c r="L84" s="8"/>
      <c r="M84" s="2"/>
      <c r="N84" s="2"/>
      <c r="O84" s="2"/>
      <c r="P84" s="7"/>
    </row>
    <row r="85" ht="12.75" customHeight="1">
      <c r="A85" s="9"/>
      <c r="B85" t="s" s="15">
        <v>45</v>
      </c>
      <c r="C85" t="s" s="11">
        <v>52</v>
      </c>
      <c r="D85" s="45"/>
      <c r="E85" s="45"/>
      <c r="F85" s="45"/>
      <c r="G85" s="45"/>
      <c r="H85" s="16">
        <f>SUM(D85:G85)</f>
        <v>0</v>
      </c>
      <c r="I85" s="62"/>
      <c r="J85" s="18">
        <f>H85*3600</f>
        <v>0</v>
      </c>
      <c r="K85" s="59"/>
      <c r="L85" s="8"/>
      <c r="M85" s="2"/>
      <c r="N85" s="2"/>
      <c r="O85" s="2"/>
      <c r="P85" s="7"/>
    </row>
    <row r="86" ht="12.75" customHeight="1">
      <c r="A86" s="9"/>
      <c r="B86" t="s" s="15">
        <v>46</v>
      </c>
      <c r="C86" t="s" s="11">
        <v>52</v>
      </c>
      <c r="D86" s="45"/>
      <c r="E86" s="45"/>
      <c r="F86" s="45"/>
      <c r="G86" s="45"/>
      <c r="H86" s="16">
        <f>SUM(D86:G86)</f>
        <v>0</v>
      </c>
      <c r="I86" s="62"/>
      <c r="J86" s="18">
        <f>H86*3600</f>
        <v>0</v>
      </c>
      <c r="K86" s="59"/>
      <c r="L86" s="8"/>
      <c r="M86" s="2"/>
      <c r="N86" s="2"/>
      <c r="O86" s="2"/>
      <c r="P86" s="7"/>
    </row>
    <row r="87" ht="12.75" customHeight="1">
      <c r="A87" s="9"/>
      <c r="B87" t="s" s="15">
        <v>47</v>
      </c>
      <c r="C87" t="s" s="11">
        <v>52</v>
      </c>
      <c r="D87" s="45"/>
      <c r="E87" s="45"/>
      <c r="F87" s="45"/>
      <c r="G87" s="45"/>
      <c r="H87" s="16">
        <f>SUM(D87:G87)</f>
        <v>0</v>
      </c>
      <c r="I87" s="62"/>
      <c r="J87" s="18">
        <f>H87*3600</f>
        <v>0</v>
      </c>
      <c r="K87" s="59"/>
      <c r="L87" s="8"/>
      <c r="M87" s="2"/>
      <c r="N87" s="2"/>
      <c r="O87" s="2"/>
      <c r="P87" s="7"/>
    </row>
    <row r="88" ht="12.75" customHeight="1">
      <c r="A88" s="9"/>
      <c r="B88" t="s" s="15">
        <v>48</v>
      </c>
      <c r="C88" t="s" s="11">
        <v>52</v>
      </c>
      <c r="D88" s="45"/>
      <c r="E88" s="45"/>
      <c r="F88" s="45"/>
      <c r="G88" s="45"/>
      <c r="H88" s="16">
        <f>SUM(D88:G88)</f>
        <v>0</v>
      </c>
      <c r="I88" s="62"/>
      <c r="J88" s="49">
        <f>H88*3900</f>
        <v>0</v>
      </c>
      <c r="K88" s="59"/>
      <c r="L88" s="8"/>
      <c r="M88" s="2"/>
      <c r="N88" s="2"/>
      <c r="O88" s="2"/>
      <c r="P88" s="7"/>
    </row>
    <row r="89" ht="12.75" customHeight="1">
      <c r="A89" s="9"/>
      <c r="B89" t="s" s="15">
        <v>53</v>
      </c>
      <c r="C89" t="s" s="11">
        <v>52</v>
      </c>
      <c r="D89" s="70">
        <f>SUM(D77:D88)</f>
        <v>792.4400000000001</v>
      </c>
      <c r="E89" s="70">
        <f>SUM(E77:E88)</f>
        <v>20785.25</v>
      </c>
      <c r="F89" s="70">
        <f>SUM(F77:F88)</f>
        <v>0.55</v>
      </c>
      <c r="G89" s="70">
        <f>SUM(G77:G88)</f>
        <v>1871.09</v>
      </c>
      <c r="H89" s="70">
        <f>SUM(H77:H88)</f>
        <v>23449.33</v>
      </c>
      <c r="I89" s="63"/>
      <c r="J89" s="32"/>
      <c r="K89" s="7"/>
      <c r="L89" s="8"/>
      <c r="M89" s="2"/>
      <c r="N89" s="2"/>
      <c r="O89" s="2"/>
      <c r="P89" s="7"/>
    </row>
  </sheetData>
  <mergeCells count="1">
    <mergeCell ref="N19:N20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56"/>
  <sheetViews>
    <sheetView workbookViewId="0" showGridLines="0" defaultGridColor="1"/>
  </sheetViews>
  <sheetFormatPr defaultColWidth="8.83333" defaultRowHeight="15" customHeight="1" outlineLevelRow="0" outlineLevelCol="0"/>
  <cols>
    <col min="1" max="9" width="16.3516" style="75" customWidth="1"/>
    <col min="10" max="16384" width="8.85156" style="75" customWidth="1"/>
  </cols>
  <sheetData>
    <row r="1" ht="14.65" customHeight="1">
      <c r="A1" t="s" s="76">
        <v>0</v>
      </c>
      <c r="B1" t="s" s="76">
        <v>1</v>
      </c>
      <c r="C1" t="s" s="76">
        <v>2</v>
      </c>
      <c r="D1" t="s" s="76">
        <v>3</v>
      </c>
      <c r="E1" t="s" s="76">
        <v>4</v>
      </c>
      <c r="F1" t="s" s="76">
        <v>5</v>
      </c>
      <c r="G1" t="s" s="76">
        <v>6</v>
      </c>
      <c r="H1" t="s" s="76">
        <v>7</v>
      </c>
      <c r="I1" t="s" s="76">
        <v>8</v>
      </c>
    </row>
    <row r="2" ht="16" customHeight="1">
      <c r="A2" t="s" s="77">
        <v>9</v>
      </c>
      <c r="B2" t="s" s="11">
        <v>10</v>
      </c>
      <c r="C2" s="17">
        <v>3065.6</v>
      </c>
      <c r="D2" s="17">
        <v>417.94</v>
      </c>
      <c r="E2" s="17">
        <v>3.897</v>
      </c>
      <c r="F2" s="17"/>
      <c r="G2" s="17">
        <f>SUM(C2:E2)</f>
        <v>3487.437</v>
      </c>
      <c r="H2" s="17">
        <f>G2-I2</f>
        <v>1305.757</v>
      </c>
      <c r="I2" s="17">
        <v>2181.68</v>
      </c>
    </row>
    <row r="3" ht="16" customHeight="1">
      <c r="A3" t="s" s="77">
        <v>12</v>
      </c>
      <c r="B3" t="s" s="11">
        <v>10</v>
      </c>
      <c r="C3" s="17">
        <v>3374.13</v>
      </c>
      <c r="D3" s="17">
        <v>762.65</v>
      </c>
      <c r="E3" s="17">
        <v>117.558</v>
      </c>
      <c r="F3" s="17"/>
      <c r="G3" s="17">
        <f>SUM(C3:E3)</f>
        <v>4254.338</v>
      </c>
      <c r="H3" s="17">
        <f>G3-I3</f>
        <v>1665.688</v>
      </c>
      <c r="I3" s="17">
        <v>2588.65</v>
      </c>
    </row>
    <row r="4" ht="16" customHeight="1">
      <c r="A4" t="s" s="77">
        <v>13</v>
      </c>
      <c r="B4" t="s" s="11">
        <v>10</v>
      </c>
      <c r="C4" s="17">
        <v>2312.23</v>
      </c>
      <c r="D4" s="17">
        <v>931.05</v>
      </c>
      <c r="E4" s="17">
        <v>280.133</v>
      </c>
      <c r="F4" s="17"/>
      <c r="G4" s="17">
        <f>SUM(C4:E4)</f>
        <v>3523.413</v>
      </c>
      <c r="H4" s="17">
        <f>G4-I4</f>
        <v>1798.163</v>
      </c>
      <c r="I4" s="17">
        <f>1725.25</f>
        <v>1725.25</v>
      </c>
    </row>
    <row r="5" ht="16" customHeight="1">
      <c r="A5" t="s" s="77">
        <v>15</v>
      </c>
      <c r="B5" t="s" s="11">
        <v>10</v>
      </c>
      <c r="C5" s="17">
        <v>4000.51</v>
      </c>
      <c r="D5" s="17">
        <v>648.29</v>
      </c>
      <c r="E5" s="17">
        <v>34.138</v>
      </c>
      <c r="F5" s="17"/>
      <c r="G5" s="17">
        <v>4683.35</v>
      </c>
      <c r="H5" s="17">
        <v>625.3</v>
      </c>
      <c r="I5" s="17">
        <f>G5-H5</f>
        <v>4058.05</v>
      </c>
    </row>
    <row r="6" ht="16" customHeight="1">
      <c r="A6" t="s" s="77">
        <v>16</v>
      </c>
      <c r="B6" t="s" s="11">
        <v>10</v>
      </c>
      <c r="C6" s="17">
        <v>7248.14</v>
      </c>
      <c r="D6" s="17">
        <v>1004.46</v>
      </c>
      <c r="E6" s="17">
        <v>11.89</v>
      </c>
      <c r="F6" s="17"/>
      <c r="G6" s="17">
        <v>8264.49</v>
      </c>
      <c r="H6" s="17">
        <v>826.8200000000001</v>
      </c>
      <c r="I6" s="17">
        <f>G6-H6</f>
        <v>7437.67</v>
      </c>
    </row>
    <row r="7" ht="16" customHeight="1">
      <c r="A7" t="s" s="77">
        <v>17</v>
      </c>
      <c r="B7" t="s" s="11">
        <v>10</v>
      </c>
      <c r="C7" s="17">
        <v>5262.48</v>
      </c>
      <c r="D7" s="17">
        <v>463.88</v>
      </c>
      <c r="E7" s="17">
        <v>9.550000000000001</v>
      </c>
      <c r="F7" s="17"/>
      <c r="G7" s="17">
        <v>5735.9</v>
      </c>
      <c r="H7" s="17">
        <v>567.4400000000001</v>
      </c>
      <c r="I7" s="17">
        <f>G7-H7</f>
        <v>5168.46</v>
      </c>
    </row>
    <row r="8" ht="16" customHeight="1">
      <c r="A8" t="s" s="77">
        <v>18</v>
      </c>
      <c r="B8" t="s" s="11">
        <v>10</v>
      </c>
      <c r="C8" s="17">
        <v>2555.23</v>
      </c>
      <c r="D8" s="17">
        <v>818.1</v>
      </c>
      <c r="E8" s="17">
        <v>11.57</v>
      </c>
      <c r="F8" s="17"/>
      <c r="G8" s="17">
        <f>SUM(C8:E8)</f>
        <v>3384.9</v>
      </c>
      <c r="H8" s="17">
        <v>413.93</v>
      </c>
      <c r="I8" s="17">
        <f>G8-H8</f>
        <v>2970.97</v>
      </c>
    </row>
    <row r="9" ht="16" customHeight="1">
      <c r="A9" t="s" s="77">
        <v>19</v>
      </c>
      <c r="B9" t="s" s="11">
        <v>10</v>
      </c>
      <c r="C9" s="17">
        <v>2638.87</v>
      </c>
      <c r="D9" s="17">
        <v>768.6900000000001</v>
      </c>
      <c r="E9" s="17">
        <v>17.43</v>
      </c>
      <c r="F9" s="17"/>
      <c r="G9" s="17">
        <v>3424.99</v>
      </c>
      <c r="H9" s="17">
        <v>476.79</v>
      </c>
      <c r="I9" s="17">
        <f>G9-H9</f>
        <v>2948.2</v>
      </c>
    </row>
    <row r="10" ht="16" customHeight="1">
      <c r="A10" t="s" s="77">
        <v>20</v>
      </c>
      <c r="B10" t="s" s="11">
        <v>10</v>
      </c>
      <c r="C10" s="17">
        <v>3568.76</v>
      </c>
      <c r="D10" s="17">
        <v>600.08</v>
      </c>
      <c r="E10" s="17">
        <v>9.210000000000001</v>
      </c>
      <c r="F10" s="17"/>
      <c r="G10" s="17">
        <v>4178.05</v>
      </c>
      <c r="H10" s="17">
        <v>487.27</v>
      </c>
      <c r="I10" s="17">
        <f>G10-H10</f>
        <v>3690.78</v>
      </c>
    </row>
    <row r="11" ht="16" customHeight="1">
      <c r="A11" t="s" s="77">
        <v>21</v>
      </c>
      <c r="B11" t="s" s="11">
        <v>10</v>
      </c>
      <c r="C11" s="17">
        <v>2237.23</v>
      </c>
      <c r="D11" s="17">
        <v>1145.29</v>
      </c>
      <c r="E11" s="17">
        <v>7.55</v>
      </c>
      <c r="F11" s="17"/>
      <c r="G11" s="17">
        <v>3390.06</v>
      </c>
      <c r="H11" s="17">
        <v>425.76</v>
      </c>
      <c r="I11" s="17">
        <f>G11-H11</f>
        <v>2964.3</v>
      </c>
    </row>
    <row r="12" ht="16" customHeight="1">
      <c r="A12" t="s" s="77">
        <v>22</v>
      </c>
      <c r="B12" t="s" s="11">
        <v>10</v>
      </c>
      <c r="C12" s="17">
        <v>1891.39</v>
      </c>
      <c r="D12" s="17">
        <v>2066.42</v>
      </c>
      <c r="E12" s="17">
        <v>5.72</v>
      </c>
      <c r="F12" s="17"/>
      <c r="G12" s="17">
        <f>SUM(C12:E12)</f>
        <v>3963.53</v>
      </c>
      <c r="H12" s="17">
        <v>450.62</v>
      </c>
      <c r="I12" s="17">
        <f>G12-H12</f>
        <v>3512.91</v>
      </c>
    </row>
    <row r="13" ht="16" customHeight="1">
      <c r="A13" t="s" s="77">
        <v>23</v>
      </c>
      <c r="B13" t="s" s="11">
        <v>10</v>
      </c>
      <c r="C13" s="17">
        <v>1636.99</v>
      </c>
      <c r="D13" s="17">
        <v>4974.82</v>
      </c>
      <c r="E13" s="17">
        <v>6.13</v>
      </c>
      <c r="F13" s="17"/>
      <c r="G13" s="17">
        <v>6637.59</v>
      </c>
      <c r="H13" s="17">
        <v>958.72</v>
      </c>
      <c r="I13" s="17">
        <f>G13-H13</f>
        <v>5678.87</v>
      </c>
    </row>
    <row r="14" ht="16" customHeight="1">
      <c r="A14" t="s" s="77">
        <v>24</v>
      </c>
      <c r="B14" t="s" s="11">
        <v>10</v>
      </c>
      <c r="C14" s="17">
        <v>1303.18</v>
      </c>
      <c r="D14" s="17">
        <v>14687.1</v>
      </c>
      <c r="E14" s="17">
        <v>9.77</v>
      </c>
      <c r="F14" s="17"/>
      <c r="G14" s="17">
        <f>SUM(C14:F14)</f>
        <v>16000.05</v>
      </c>
      <c r="H14" s="17">
        <v>2516.46</v>
      </c>
      <c r="I14" s="17">
        <f>G14-H14</f>
        <v>13483.59</v>
      </c>
    </row>
    <row r="15" ht="16" customHeight="1">
      <c r="A15" t="s" s="77">
        <v>26</v>
      </c>
      <c r="B15" t="s" s="11">
        <v>10</v>
      </c>
      <c r="C15" s="17">
        <v>1308.7</v>
      </c>
      <c r="D15" s="17">
        <v>4945.35</v>
      </c>
      <c r="E15" s="17">
        <v>8.68</v>
      </c>
      <c r="F15" s="17"/>
      <c r="G15" s="17">
        <f>SUM(C15:F15)</f>
        <v>6262.73</v>
      </c>
      <c r="H15" s="17">
        <v>839.51</v>
      </c>
      <c r="I15" s="17">
        <f>G15-H15</f>
        <v>5423.22</v>
      </c>
    </row>
    <row r="16" ht="16" customHeight="1">
      <c r="A16" t="s" s="77">
        <v>27</v>
      </c>
      <c r="B16" t="s" s="11">
        <v>10</v>
      </c>
      <c r="C16" s="17">
        <v>1124.96</v>
      </c>
      <c r="D16" s="17">
        <v>4715.51</v>
      </c>
      <c r="E16" s="17">
        <v>6.03</v>
      </c>
      <c r="F16" s="17"/>
      <c r="G16" s="17">
        <f>SUM(C16:F16)</f>
        <v>5846.5</v>
      </c>
      <c r="H16" s="17">
        <v>1374.49</v>
      </c>
      <c r="I16" s="17">
        <f>G16-H16</f>
        <v>4472.01</v>
      </c>
    </row>
    <row r="17" ht="16" customHeight="1">
      <c r="A17" t="s" s="77">
        <v>28</v>
      </c>
      <c r="B17" t="s" s="11">
        <v>10</v>
      </c>
      <c r="C17" s="17">
        <v>774.3</v>
      </c>
      <c r="D17" s="17">
        <v>11531.98</v>
      </c>
      <c r="E17" s="17">
        <v>3.82</v>
      </c>
      <c r="F17" s="17"/>
      <c r="G17" s="17">
        <f>SUM(C17:F17)</f>
        <v>12310.1</v>
      </c>
      <c r="H17" s="17">
        <v>1868.24</v>
      </c>
      <c r="I17" s="17">
        <f>G17-H17</f>
        <v>10441.86</v>
      </c>
    </row>
    <row r="18" ht="16" customHeight="1">
      <c r="A18" t="s" s="77">
        <v>29</v>
      </c>
      <c r="B18" t="s" s="11">
        <v>10</v>
      </c>
      <c r="C18" s="17">
        <v>957.55</v>
      </c>
      <c r="D18" s="17">
        <v>5847.4</v>
      </c>
      <c r="E18" s="17">
        <v>3.04</v>
      </c>
      <c r="F18" s="17"/>
      <c r="G18" s="17">
        <f>SUM(C18:F18)</f>
        <v>6807.99</v>
      </c>
      <c r="H18" s="17">
        <v>915.79</v>
      </c>
      <c r="I18" s="17">
        <f>G18-H18</f>
        <v>5892.2</v>
      </c>
    </row>
    <row r="19" ht="16" customHeight="1">
      <c r="A19" t="s" s="77">
        <v>30</v>
      </c>
      <c r="B19" t="s" s="11">
        <v>10</v>
      </c>
      <c r="C19" s="17">
        <v>1014.29</v>
      </c>
      <c r="D19" s="17">
        <v>13973.42</v>
      </c>
      <c r="E19" s="17">
        <v>4.97</v>
      </c>
      <c r="F19" s="17"/>
      <c r="G19" s="17">
        <f>SUM(C19:F19)</f>
        <v>14992.68</v>
      </c>
      <c r="H19" s="17">
        <v>1798.87</v>
      </c>
      <c r="I19" s="17">
        <f>G19-H19</f>
        <v>13193.81</v>
      </c>
    </row>
    <row r="20" ht="16" customHeight="1">
      <c r="A20" t="s" s="77">
        <v>31</v>
      </c>
      <c r="B20" t="s" s="11">
        <v>10</v>
      </c>
      <c r="C20" s="17">
        <v>1072.14</v>
      </c>
      <c r="D20" s="17">
        <v>6944.2</v>
      </c>
      <c r="E20" s="17">
        <v>3.57</v>
      </c>
      <c r="F20" s="17"/>
      <c r="G20" s="17">
        <f>SUM(C20:F20)</f>
        <v>8019.91</v>
      </c>
      <c r="H20" s="17">
        <v>1020.46</v>
      </c>
      <c r="I20" s="17">
        <f>G20-H20</f>
        <v>6999.45</v>
      </c>
    </row>
    <row r="21" ht="16" customHeight="1">
      <c r="A21" t="s" s="77">
        <v>32</v>
      </c>
      <c r="B21" t="s" s="11">
        <v>10</v>
      </c>
      <c r="C21" s="17">
        <v>1173.34</v>
      </c>
      <c r="D21" s="17">
        <v>11533.35</v>
      </c>
      <c r="E21" s="17">
        <v>3.45</v>
      </c>
      <c r="F21" s="17"/>
      <c r="G21" s="17">
        <f>SUM(C21:F21)</f>
        <v>12710.14</v>
      </c>
      <c r="H21" s="17">
        <v>1905.55</v>
      </c>
      <c r="I21" s="17">
        <f>G21-H21</f>
        <v>10804.59</v>
      </c>
    </row>
    <row r="22" ht="16" customHeight="1">
      <c r="A22" t="s" s="77">
        <v>33</v>
      </c>
      <c r="B22" t="s" s="11">
        <v>10</v>
      </c>
      <c r="C22" s="17">
        <v>1311.15</v>
      </c>
      <c r="D22" s="17">
        <v>8709.139999999999</v>
      </c>
      <c r="E22" s="17">
        <v>4.17</v>
      </c>
      <c r="F22" s="17"/>
      <c r="G22" s="17">
        <f>SUM(C22:F22)</f>
        <v>10024.46</v>
      </c>
      <c r="H22" s="17">
        <v>1510.21</v>
      </c>
      <c r="I22" s="17">
        <f>G22-H22</f>
        <v>8514.25</v>
      </c>
    </row>
    <row r="23" ht="16" customHeight="1">
      <c r="A23" t="s" s="77">
        <v>34</v>
      </c>
      <c r="B23" t="s" s="11">
        <v>10</v>
      </c>
      <c r="C23" s="17">
        <v>1113.25</v>
      </c>
      <c r="D23" s="17">
        <v>13410.09</v>
      </c>
      <c r="E23" s="17">
        <v>2.09</v>
      </c>
      <c r="F23" s="17"/>
      <c r="G23" s="17">
        <f>SUM(C23:F23)</f>
        <v>14525.43</v>
      </c>
      <c r="H23" s="17">
        <v>2284.83</v>
      </c>
      <c r="I23" s="17">
        <f>G23-H23</f>
        <v>12240.6</v>
      </c>
    </row>
    <row r="24" ht="16" customHeight="1">
      <c r="A24" t="s" s="77">
        <v>35</v>
      </c>
      <c r="B24" t="s" s="11">
        <v>10</v>
      </c>
      <c r="C24" s="17">
        <v>773.38</v>
      </c>
      <c r="D24" s="17">
        <v>19093.46</v>
      </c>
      <c r="E24" s="17">
        <v>3.09</v>
      </c>
      <c r="F24" s="17">
        <v>124.63</v>
      </c>
      <c r="G24" s="17">
        <f>SUM(C24:F24)</f>
        <v>19994.56</v>
      </c>
      <c r="H24" s="17">
        <v>2977.17</v>
      </c>
      <c r="I24" s="17">
        <f>G24-H24</f>
        <v>17017.39</v>
      </c>
    </row>
    <row r="25" ht="16" customHeight="1">
      <c r="A25" t="s" s="77">
        <v>36</v>
      </c>
      <c r="B25" t="s" s="11">
        <v>10</v>
      </c>
      <c r="C25" s="17">
        <v>790.01</v>
      </c>
      <c r="D25" s="17">
        <v>12530.7</v>
      </c>
      <c r="E25" s="17">
        <v>2.57</v>
      </c>
      <c r="F25" s="17">
        <v>394.57</v>
      </c>
      <c r="G25" s="17">
        <f>SUM(C25:F25)</f>
        <v>13717.85</v>
      </c>
      <c r="H25" s="17">
        <v>2977.17</v>
      </c>
      <c r="I25" s="17">
        <f>G25-H25</f>
        <v>10740.68</v>
      </c>
    </row>
    <row r="26" ht="16" customHeight="1">
      <c r="A26" t="s" s="77">
        <v>37</v>
      </c>
      <c r="B26" t="s" s="11">
        <v>10</v>
      </c>
      <c r="C26" s="17">
        <v>743.02</v>
      </c>
      <c r="D26" s="17">
        <v>20390.93</v>
      </c>
      <c r="E26" s="17">
        <v>11.26</v>
      </c>
      <c r="F26" s="17">
        <v>890.87</v>
      </c>
      <c r="G26" s="17">
        <f>SUM(C26:F26)</f>
        <v>22036.08</v>
      </c>
      <c r="H26" s="17">
        <v>1951.09</v>
      </c>
      <c r="I26" s="17">
        <f>G26-H26</f>
        <v>20084.99</v>
      </c>
    </row>
    <row r="27" ht="16" customHeight="1">
      <c r="A27" t="s" s="77">
        <v>38</v>
      </c>
      <c r="B27" t="s" s="11">
        <v>10</v>
      </c>
      <c r="C27" s="17">
        <v>725.17</v>
      </c>
      <c r="D27" s="17">
        <v>11329</v>
      </c>
      <c r="E27" s="17">
        <v>4.03</v>
      </c>
      <c r="F27" s="17">
        <v>415.03</v>
      </c>
      <c r="G27" s="17">
        <f>SUM(C27:F27)</f>
        <v>12473.23</v>
      </c>
      <c r="H27" s="17">
        <v>3104.32</v>
      </c>
      <c r="I27" s="17">
        <f>G27-H27</f>
        <v>9368.91</v>
      </c>
    </row>
    <row r="28" ht="16" customHeight="1">
      <c r="A28" t="s" s="77">
        <v>39</v>
      </c>
      <c r="B28" t="s" s="11">
        <v>10</v>
      </c>
      <c r="C28" s="17">
        <v>670.03</v>
      </c>
      <c r="D28" s="17">
        <v>16530.57</v>
      </c>
      <c r="E28" s="17">
        <v>2.58</v>
      </c>
      <c r="F28" s="17">
        <v>184.36</v>
      </c>
      <c r="G28" s="17">
        <f>SUM(C28:F28)</f>
        <v>17387.54</v>
      </c>
      <c r="H28" s="45"/>
      <c r="I28" s="17">
        <f>G28-H28</f>
        <v>17387.54</v>
      </c>
    </row>
    <row r="29" ht="16" customHeight="1">
      <c r="A29" t="s" s="77">
        <v>40</v>
      </c>
      <c r="B29" t="s" s="11">
        <v>10</v>
      </c>
      <c r="C29" s="17">
        <v>198.81</v>
      </c>
      <c r="D29" s="17">
        <v>4339.81</v>
      </c>
      <c r="E29" s="17">
        <v>0.99</v>
      </c>
      <c r="F29" s="17">
        <v>57.7</v>
      </c>
      <c r="G29" s="17">
        <f>SUM(C29:F29)</f>
        <v>4597.31</v>
      </c>
      <c r="H29" s="45"/>
      <c r="I29" s="17">
        <f>G29-H29</f>
        <v>4597.31</v>
      </c>
    </row>
    <row r="30" ht="17.25" customHeight="1">
      <c r="A30" t="s" s="77">
        <v>12</v>
      </c>
      <c r="B30" t="s" s="11">
        <v>52</v>
      </c>
      <c r="C30" s="24">
        <v>354</v>
      </c>
      <c r="D30" s="24">
        <v>154</v>
      </c>
      <c r="E30" s="24"/>
      <c r="F30" s="24"/>
      <c r="G30" s="78"/>
      <c r="H30" s="79"/>
      <c r="I30" s="24">
        <f>SUM(E30:G30)</f>
        <v>0</v>
      </c>
    </row>
    <row r="31" ht="15.55" customHeight="1">
      <c r="A31" t="s" s="77">
        <v>13</v>
      </c>
      <c r="B31" t="s" s="11">
        <v>52</v>
      </c>
      <c r="C31" s="24">
        <v>1578</v>
      </c>
      <c r="D31" s="24">
        <v>29</v>
      </c>
      <c r="E31" s="24"/>
      <c r="F31" s="24"/>
      <c r="G31" s="80"/>
      <c r="H31" s="81"/>
      <c r="I31" s="24">
        <f>SUM(E31:G31)</f>
        <v>0</v>
      </c>
    </row>
    <row r="32" ht="14.65" customHeight="1">
      <c r="A32" t="s" s="77">
        <v>15</v>
      </c>
      <c r="B32" t="s" s="11">
        <v>52</v>
      </c>
      <c r="C32" s="24">
        <v>392</v>
      </c>
      <c r="D32" s="24">
        <v>465</v>
      </c>
      <c r="E32" s="24"/>
      <c r="F32" s="24"/>
      <c r="G32" s="80"/>
      <c r="H32" s="81"/>
      <c r="I32" s="24">
        <f>SUM(E32:G32)</f>
        <v>0</v>
      </c>
    </row>
    <row r="33" ht="16" customHeight="1">
      <c r="A33" t="s" s="77">
        <v>16</v>
      </c>
      <c r="B33" t="s" s="11">
        <v>52</v>
      </c>
      <c r="C33" s="24">
        <v>357</v>
      </c>
      <c r="D33" s="24">
        <v>123</v>
      </c>
      <c r="E33" s="24">
        <v>6</v>
      </c>
      <c r="F33" s="24"/>
      <c r="G33" s="80"/>
      <c r="H33" s="81"/>
      <c r="I33" s="24">
        <f>SUM(E33:G33)</f>
        <v>6</v>
      </c>
    </row>
    <row r="34" ht="16" customHeight="1">
      <c r="A34" t="s" s="77">
        <v>17</v>
      </c>
      <c r="B34" t="s" s="11">
        <v>52</v>
      </c>
      <c r="C34" s="24">
        <v>1062.38</v>
      </c>
      <c r="D34" s="24">
        <v>51</v>
      </c>
      <c r="E34" s="24">
        <v>248.05</v>
      </c>
      <c r="F34" s="24"/>
      <c r="G34" s="80"/>
      <c r="H34" s="81"/>
      <c r="I34" s="24">
        <f>SUM(E34:G34)</f>
        <v>248.05</v>
      </c>
    </row>
    <row r="35" ht="16" customHeight="1">
      <c r="A35" t="s" s="77">
        <v>18</v>
      </c>
      <c r="B35" t="s" s="11">
        <v>52</v>
      </c>
      <c r="C35" s="24">
        <v>498.27</v>
      </c>
      <c r="D35" s="24">
        <v>35.86</v>
      </c>
      <c r="E35" s="24">
        <v>187.91</v>
      </c>
      <c r="F35" s="24"/>
      <c r="G35" s="80"/>
      <c r="H35" s="81"/>
      <c r="I35" s="24">
        <f>SUM(E35:G35)</f>
        <v>187.91</v>
      </c>
    </row>
    <row r="36" ht="16" customHeight="1">
      <c r="A36" t="s" s="77">
        <v>19</v>
      </c>
      <c r="B36" t="s" s="11">
        <v>52</v>
      </c>
      <c r="C36" s="24">
        <v>320.97</v>
      </c>
      <c r="D36" s="24">
        <v>23.94</v>
      </c>
      <c r="E36" s="24">
        <v>195.79</v>
      </c>
      <c r="F36" s="24"/>
      <c r="G36" s="80"/>
      <c r="H36" s="81"/>
      <c r="I36" s="24">
        <f>SUM(E36:G36)</f>
        <v>195.79</v>
      </c>
    </row>
    <row r="37" ht="16" customHeight="1">
      <c r="A37" t="s" s="77">
        <v>20</v>
      </c>
      <c r="B37" t="s" s="11">
        <v>52</v>
      </c>
      <c r="C37" s="24">
        <v>214.54</v>
      </c>
      <c r="D37" s="24">
        <v>18.1</v>
      </c>
      <c r="E37" s="24">
        <v>98.05</v>
      </c>
      <c r="F37" s="24"/>
      <c r="G37" s="80"/>
      <c r="H37" s="81"/>
      <c r="I37" s="60">
        <f>SUM(E37:G37)</f>
        <v>98.05</v>
      </c>
    </row>
    <row r="38" ht="16" customHeight="1">
      <c r="A38" t="s" s="77">
        <v>21</v>
      </c>
      <c r="B38" t="s" s="11">
        <v>52</v>
      </c>
      <c r="C38" s="61">
        <v>227.23</v>
      </c>
      <c r="D38" s="24">
        <v>199.83</v>
      </c>
      <c r="E38" s="24">
        <v>125.54</v>
      </c>
      <c r="F38" s="24"/>
      <c r="G38" s="80"/>
      <c r="H38" s="81"/>
      <c r="I38" s="24">
        <f>SUM(E38:G38)</f>
        <v>125.54</v>
      </c>
    </row>
    <row r="39" ht="16" customHeight="1">
      <c r="A39" t="s" s="77">
        <v>22</v>
      </c>
      <c r="B39" t="s" s="11">
        <v>52</v>
      </c>
      <c r="C39" s="24">
        <v>85.43000000000001</v>
      </c>
      <c r="D39" s="24">
        <v>54.26</v>
      </c>
      <c r="E39" s="24">
        <v>56.08</v>
      </c>
      <c r="F39" s="24">
        <v>40.92</v>
      </c>
      <c r="G39" s="80"/>
      <c r="H39" s="81"/>
      <c r="I39" s="24">
        <f>SUM(E39:H39)</f>
        <v>97</v>
      </c>
    </row>
    <row r="40" ht="16" customHeight="1">
      <c r="A40" t="s" s="77">
        <v>23</v>
      </c>
      <c r="B40" t="s" s="11">
        <v>52</v>
      </c>
      <c r="C40" s="24">
        <v>66.53</v>
      </c>
      <c r="D40" s="24">
        <v>46.73</v>
      </c>
      <c r="E40" s="24">
        <v>10.09</v>
      </c>
      <c r="F40" s="24">
        <v>214.95</v>
      </c>
      <c r="G40" s="80"/>
      <c r="H40" s="81"/>
      <c r="I40" s="24">
        <f>SUM(E40:H40)</f>
        <v>225.04</v>
      </c>
    </row>
    <row r="41" ht="16" customHeight="1">
      <c r="A41" t="s" s="77">
        <v>24</v>
      </c>
      <c r="B41" t="s" s="11">
        <v>52</v>
      </c>
      <c r="C41" s="16">
        <v>36.91</v>
      </c>
      <c r="D41" s="16">
        <v>60.16</v>
      </c>
      <c r="E41" s="16">
        <v>93.83</v>
      </c>
      <c r="F41" s="16">
        <v>110.8</v>
      </c>
      <c r="G41" s="80"/>
      <c r="H41" s="81"/>
      <c r="I41" s="16">
        <f>SUM(E41:H41)</f>
        <v>204.63</v>
      </c>
    </row>
    <row r="42" ht="16" customHeight="1">
      <c r="A42" t="s" s="77">
        <v>26</v>
      </c>
      <c r="B42" t="s" s="11">
        <v>52</v>
      </c>
      <c r="C42" s="16">
        <v>137.02</v>
      </c>
      <c r="D42" s="16">
        <v>84.75</v>
      </c>
      <c r="E42" s="16">
        <v>18.7</v>
      </c>
      <c r="F42" s="16">
        <v>93.63</v>
      </c>
      <c r="G42" s="80"/>
      <c r="H42" s="81"/>
      <c r="I42" s="16">
        <f>SUM(E42:H42)</f>
        <v>112.33</v>
      </c>
    </row>
    <row r="43" ht="16" customHeight="1">
      <c r="A43" t="s" s="77">
        <v>27</v>
      </c>
      <c r="B43" t="s" s="11">
        <v>52</v>
      </c>
      <c r="C43" s="16">
        <v>60.96</v>
      </c>
      <c r="D43" s="16">
        <v>80.42</v>
      </c>
      <c r="E43" s="16">
        <v>10.63</v>
      </c>
      <c r="F43" s="16">
        <v>86.97</v>
      </c>
      <c r="G43" s="80"/>
      <c r="H43" s="81"/>
      <c r="I43" s="16">
        <f>SUM(E43:H43)</f>
        <v>97.59999999999999</v>
      </c>
    </row>
    <row r="44" ht="16" customHeight="1">
      <c r="A44" t="s" s="77">
        <v>28</v>
      </c>
      <c r="B44" t="s" s="11">
        <v>52</v>
      </c>
      <c r="C44" s="16">
        <v>77.45999999999999</v>
      </c>
      <c r="D44" s="16">
        <v>158.81</v>
      </c>
      <c r="E44" s="16">
        <v>25.2</v>
      </c>
      <c r="F44" s="16">
        <v>53.64</v>
      </c>
      <c r="G44" s="80"/>
      <c r="H44" s="81"/>
      <c r="I44" s="16">
        <f>SUM(E44:H44)</f>
        <v>78.84</v>
      </c>
    </row>
    <row r="45" ht="16" customHeight="1">
      <c r="A45" t="s" s="77">
        <v>29</v>
      </c>
      <c r="B45" t="s" s="11">
        <v>52</v>
      </c>
      <c r="C45" s="16">
        <v>235.11</v>
      </c>
      <c r="D45" s="16">
        <v>160.47</v>
      </c>
      <c r="E45" s="16">
        <v>36.96</v>
      </c>
      <c r="F45" s="16">
        <v>132.22</v>
      </c>
      <c r="G45" s="80"/>
      <c r="H45" s="81"/>
      <c r="I45" s="16">
        <f>SUM(E45:H45)</f>
        <v>169.18</v>
      </c>
    </row>
    <row r="46" ht="16" customHeight="1">
      <c r="A46" t="s" s="77">
        <v>30</v>
      </c>
      <c r="B46" t="s" s="11">
        <v>52</v>
      </c>
      <c r="C46" s="16">
        <v>183.72</v>
      </c>
      <c r="D46" s="16">
        <v>504.69</v>
      </c>
      <c r="E46" s="16">
        <v>24.72</v>
      </c>
      <c r="F46" s="16">
        <v>47.27</v>
      </c>
      <c r="G46" s="80"/>
      <c r="H46" s="81"/>
      <c r="I46" s="16">
        <f>SUM(E46:H46)</f>
        <v>71.98999999999999</v>
      </c>
    </row>
    <row r="47" ht="16" customHeight="1">
      <c r="A47" t="s" s="77">
        <v>31</v>
      </c>
      <c r="B47" t="s" s="11">
        <v>52</v>
      </c>
      <c r="C47" s="16">
        <v>115.12</v>
      </c>
      <c r="D47" s="16">
        <v>230.59</v>
      </c>
      <c r="E47" s="16">
        <v>16.91</v>
      </c>
      <c r="F47" s="16">
        <v>40.82</v>
      </c>
      <c r="G47" s="80"/>
      <c r="H47" s="81"/>
      <c r="I47" s="16">
        <f>SUM(E47:H47)</f>
        <v>57.73</v>
      </c>
    </row>
    <row r="48" ht="16" customHeight="1">
      <c r="A48" t="s" s="77">
        <v>32</v>
      </c>
      <c r="B48" t="s" s="11">
        <v>52</v>
      </c>
      <c r="C48" s="16">
        <v>173.94</v>
      </c>
      <c r="D48" s="16">
        <f>714.66+340.8+0.09</f>
        <v>1055.55</v>
      </c>
      <c r="E48" s="16">
        <v>28.25</v>
      </c>
      <c r="F48" s="16">
        <v>28.25</v>
      </c>
      <c r="G48" s="80"/>
      <c r="H48" s="81"/>
      <c r="I48" s="16">
        <f>SUM(E48:H48)</f>
        <v>56.5</v>
      </c>
    </row>
    <row r="49" ht="16" customHeight="1">
      <c r="A49" t="s" s="77">
        <v>33</v>
      </c>
      <c r="B49" t="s" s="11">
        <v>52</v>
      </c>
      <c r="C49" s="16">
        <v>369.81</v>
      </c>
      <c r="D49" s="16">
        <v>2372.09</v>
      </c>
      <c r="E49" s="16">
        <v>19.58</v>
      </c>
      <c r="F49" s="16">
        <v>13.96</v>
      </c>
      <c r="G49" s="80"/>
      <c r="H49" s="81"/>
      <c r="I49" s="16">
        <f>SUM(E49:H49)</f>
        <v>33.54</v>
      </c>
    </row>
    <row r="50" ht="16" customHeight="1">
      <c r="A50" t="s" s="77">
        <v>34</v>
      </c>
      <c r="B50" t="s" s="11">
        <v>52</v>
      </c>
      <c r="C50" s="16">
        <v>230.62</v>
      </c>
      <c r="D50" s="16">
        <f>3932.08+1.6</f>
        <v>3933.68</v>
      </c>
      <c r="E50" s="16">
        <v>7.62</v>
      </c>
      <c r="F50" s="16">
        <v>11.04</v>
      </c>
      <c r="G50" s="80"/>
      <c r="H50" s="81"/>
      <c r="I50" s="16">
        <f>SUM(E50:H50)</f>
        <v>18.66</v>
      </c>
    </row>
    <row r="51" ht="16" customHeight="1">
      <c r="A51" t="s" s="77">
        <v>35</v>
      </c>
      <c r="B51" t="s" s="11">
        <v>52</v>
      </c>
      <c r="C51" s="16">
        <v>198.38</v>
      </c>
      <c r="D51" s="16">
        <v>2595.94</v>
      </c>
      <c r="E51" s="16">
        <v>0.18</v>
      </c>
      <c r="F51" s="16">
        <v>31.64</v>
      </c>
      <c r="G51" s="80"/>
      <c r="H51" s="81"/>
      <c r="I51" s="16">
        <f>SUM(E51:H51)</f>
        <v>31.82</v>
      </c>
    </row>
    <row r="52" ht="16" customHeight="1">
      <c r="A52" t="s" s="77">
        <v>36</v>
      </c>
      <c r="B52" t="s" s="11">
        <v>52</v>
      </c>
      <c r="C52" s="16">
        <v>209.76</v>
      </c>
      <c r="D52" s="16">
        <v>3445.89</v>
      </c>
      <c r="E52" s="16">
        <v>0.18</v>
      </c>
      <c r="F52" s="16">
        <v>106.73</v>
      </c>
      <c r="G52" s="80"/>
      <c r="H52" s="81"/>
      <c r="I52" s="16">
        <f>SUM(E52:H52)</f>
        <v>106.91</v>
      </c>
    </row>
    <row r="53" ht="16" customHeight="1">
      <c r="A53" t="s" s="77">
        <v>37</v>
      </c>
      <c r="B53" t="s" s="11">
        <v>52</v>
      </c>
      <c r="C53" s="16">
        <v>283.34</v>
      </c>
      <c r="D53" s="16">
        <f>9493.64+12.68+1.23</f>
        <v>9507.549999999999</v>
      </c>
      <c r="E53" s="16">
        <v>0.21</v>
      </c>
      <c r="F53" s="16">
        <v>1151.54</v>
      </c>
      <c r="G53" s="80"/>
      <c r="H53" s="81"/>
      <c r="I53" s="16">
        <f>SUM(E53:H53)</f>
        <v>1151.75</v>
      </c>
    </row>
    <row r="54" ht="16" customHeight="1">
      <c r="A54" t="s" s="77">
        <v>38</v>
      </c>
      <c r="B54" t="s" s="11">
        <v>52</v>
      </c>
      <c r="C54" s="16">
        <v>169.98</v>
      </c>
      <c r="D54" s="16">
        <f>4656.77+0.22+0.77</f>
        <v>4657.76</v>
      </c>
      <c r="E54" s="16">
        <v>0.15</v>
      </c>
      <c r="F54" s="16">
        <v>572.97</v>
      </c>
      <c r="G54" s="80"/>
      <c r="H54" s="81"/>
      <c r="I54" s="16">
        <f>SUM(E54:H54)</f>
        <v>573.12</v>
      </c>
    </row>
    <row r="55" ht="16" customHeight="1">
      <c r="A55" t="s" s="77">
        <v>39</v>
      </c>
      <c r="B55" t="s" s="11">
        <v>52</v>
      </c>
      <c r="C55" s="16">
        <v>211.96</v>
      </c>
      <c r="D55" s="16">
        <f>5477.53+0.78+0.02</f>
        <v>5478.33</v>
      </c>
      <c r="E55" s="16">
        <v>0.12</v>
      </c>
      <c r="F55" s="16">
        <v>130.89</v>
      </c>
      <c r="G55" s="80"/>
      <c r="H55" s="81"/>
      <c r="I55" s="16">
        <f>SUM(E55:H55)</f>
        <v>131.01</v>
      </c>
    </row>
    <row r="56" ht="16" customHeight="1">
      <c r="A56" t="s" s="77">
        <v>40</v>
      </c>
      <c r="B56" t="s" s="11">
        <v>52</v>
      </c>
      <c r="C56" s="16">
        <v>127.16</v>
      </c>
      <c r="D56" s="16">
        <v>1141.61</v>
      </c>
      <c r="E56" s="16">
        <v>0.07000000000000001</v>
      </c>
      <c r="F56" s="16">
        <v>15.69</v>
      </c>
      <c r="G56" s="80"/>
      <c r="H56" s="81"/>
      <c r="I56" s="16">
        <f>SUM(E56:H56)</f>
        <v>15.76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29"/>
  <sheetViews>
    <sheetView workbookViewId="0" showGridLines="0" defaultGridColor="1"/>
  </sheetViews>
  <sheetFormatPr defaultColWidth="8.83333" defaultRowHeight="15" customHeight="1" outlineLevelRow="0" outlineLevelCol="0"/>
  <cols>
    <col min="1" max="2" width="16.3516" style="82" customWidth="1"/>
    <col min="3" max="5" width="8.85156" style="82" customWidth="1"/>
    <col min="6" max="16384" width="8.85156" style="82" customWidth="1"/>
  </cols>
  <sheetData>
    <row r="1" ht="15.65" customHeight="1">
      <c r="A1" t="s" s="83">
        <v>0</v>
      </c>
      <c r="B1" t="s" s="84">
        <v>54</v>
      </c>
      <c r="C1" s="85"/>
      <c r="D1" s="86"/>
      <c r="E1" s="86"/>
    </row>
    <row r="2" ht="16" customHeight="1">
      <c r="A2" t="s" s="77">
        <v>9</v>
      </c>
      <c r="B2" s="87">
        <v>392560</v>
      </c>
      <c r="C2" s="85"/>
      <c r="D2" s="86"/>
      <c r="E2" s="86"/>
    </row>
    <row r="3" ht="16" customHeight="1">
      <c r="A3" t="s" s="77">
        <v>12</v>
      </c>
      <c r="B3" s="88">
        <v>393218</v>
      </c>
      <c r="C3" s="85"/>
      <c r="D3" s="86"/>
      <c r="E3" s="86"/>
    </row>
    <row r="4" ht="16" customHeight="1">
      <c r="A4" t="s" s="77">
        <v>13</v>
      </c>
      <c r="B4" s="88">
        <v>386547</v>
      </c>
      <c r="C4" s="85"/>
      <c r="D4" s="86"/>
      <c r="E4" s="86"/>
    </row>
    <row r="5" ht="16" customHeight="1">
      <c r="A5" t="s" s="77">
        <v>15</v>
      </c>
      <c r="B5" s="88">
        <v>389832</v>
      </c>
      <c r="C5" s="85"/>
      <c r="D5" s="86"/>
      <c r="E5" s="86"/>
    </row>
    <row r="6" ht="16" customHeight="1">
      <c r="A6" t="s" s="77">
        <v>16</v>
      </c>
      <c r="B6" s="88">
        <v>386322</v>
      </c>
      <c r="C6" s="85"/>
      <c r="D6" s="86"/>
      <c r="E6" s="86"/>
    </row>
    <row r="7" ht="16" customHeight="1">
      <c r="A7" t="s" s="77">
        <v>17</v>
      </c>
      <c r="B7" s="88">
        <v>414804</v>
      </c>
      <c r="C7" s="85"/>
      <c r="D7" s="86"/>
      <c r="E7" s="86"/>
    </row>
    <row r="8" ht="16" customHeight="1">
      <c r="A8" t="s" s="77">
        <v>18</v>
      </c>
      <c r="B8" s="88">
        <v>404546</v>
      </c>
      <c r="C8" s="85"/>
      <c r="D8" s="86"/>
      <c r="E8" s="86"/>
    </row>
    <row r="9" ht="16" customHeight="1">
      <c r="A9" t="s" s="77">
        <v>19</v>
      </c>
      <c r="B9" s="88">
        <v>413038</v>
      </c>
      <c r="C9" s="85"/>
      <c r="D9" s="86"/>
      <c r="E9" s="86"/>
    </row>
    <row r="10" ht="16" customHeight="1">
      <c r="A10" t="s" s="77">
        <v>20</v>
      </c>
      <c r="B10" s="88">
        <v>418316</v>
      </c>
      <c r="C10" s="85"/>
      <c r="D10" s="86"/>
      <c r="E10" s="86"/>
    </row>
    <row r="11" ht="16" customHeight="1">
      <c r="A11" t="s" s="77">
        <v>21</v>
      </c>
      <c r="B11" s="88">
        <v>438588</v>
      </c>
      <c r="C11" s="85"/>
      <c r="D11" s="86"/>
      <c r="E11" s="86"/>
    </row>
    <row r="12" ht="16" customHeight="1">
      <c r="A12" t="s" s="77">
        <v>22</v>
      </c>
      <c r="B12" s="88">
        <v>440328</v>
      </c>
      <c r="C12" s="85"/>
      <c r="D12" s="86"/>
      <c r="E12" s="86"/>
    </row>
    <row r="13" ht="16" customHeight="1">
      <c r="A13" t="s" s="77">
        <v>23</v>
      </c>
      <c r="B13" s="88">
        <v>402520</v>
      </c>
      <c r="C13" s="85"/>
      <c r="D13" s="86"/>
      <c r="E13" s="86"/>
    </row>
    <row r="14" ht="16" customHeight="1">
      <c r="A14" t="s" s="77">
        <v>24</v>
      </c>
      <c r="B14" s="88">
        <v>390512</v>
      </c>
      <c r="C14" s="85"/>
      <c r="D14" s="86"/>
      <c r="E14" s="86"/>
    </row>
    <row r="15" ht="16" customHeight="1">
      <c r="A15" t="s" s="77">
        <v>26</v>
      </c>
      <c r="B15" s="88">
        <v>394822</v>
      </c>
      <c r="C15" s="85"/>
      <c r="D15" s="86"/>
      <c r="E15" s="86"/>
    </row>
    <row r="16" ht="16" customHeight="1">
      <c r="A16" t="s" s="77">
        <v>27</v>
      </c>
      <c r="B16" s="88">
        <v>381215</v>
      </c>
      <c r="C16" s="85"/>
      <c r="D16" s="86"/>
      <c r="E16" s="86"/>
    </row>
    <row r="17" ht="16" customHeight="1">
      <c r="A17" t="s" s="77">
        <v>28</v>
      </c>
      <c r="B17" s="88">
        <v>441669</v>
      </c>
      <c r="C17" s="85"/>
      <c r="D17" s="86"/>
      <c r="E17" s="86"/>
    </row>
    <row r="18" ht="16" customHeight="1">
      <c r="A18" t="s" s="77">
        <v>29</v>
      </c>
      <c r="B18" s="88">
        <v>392040</v>
      </c>
      <c r="C18" s="85"/>
      <c r="D18" s="86"/>
      <c r="E18" s="86"/>
    </row>
    <row r="19" ht="16" customHeight="1">
      <c r="A19" t="s" s="77">
        <v>30</v>
      </c>
      <c r="B19" s="88">
        <v>370694</v>
      </c>
      <c r="C19" s="85"/>
      <c r="D19" s="86"/>
      <c r="E19" s="86"/>
    </row>
    <row r="20" ht="16" customHeight="1">
      <c r="A20" t="s" s="77">
        <v>31</v>
      </c>
      <c r="B20" s="88">
        <v>385020</v>
      </c>
      <c r="C20" s="85"/>
      <c r="D20" s="86"/>
      <c r="E20" s="86"/>
    </row>
    <row r="21" ht="16" customHeight="1">
      <c r="A21" t="s" s="77">
        <v>32</v>
      </c>
      <c r="B21" s="88">
        <v>391500</v>
      </c>
      <c r="C21" s="85"/>
      <c r="D21" s="86"/>
      <c r="E21" s="86"/>
    </row>
    <row r="22" ht="16" customHeight="1">
      <c r="A22" t="s" s="77">
        <v>33</v>
      </c>
      <c r="B22" s="88">
        <v>389050</v>
      </c>
      <c r="C22" s="85"/>
      <c r="D22" s="86"/>
      <c r="E22" s="86"/>
    </row>
    <row r="23" ht="16" customHeight="1">
      <c r="A23" t="s" s="77">
        <v>34</v>
      </c>
      <c r="B23" s="88">
        <v>390990</v>
      </c>
      <c r="C23" s="85"/>
      <c r="D23" s="86"/>
      <c r="E23" s="86"/>
    </row>
    <row r="24" ht="16" customHeight="1">
      <c r="A24" t="s" s="77">
        <v>35</v>
      </c>
      <c r="B24" s="88">
        <v>382010</v>
      </c>
      <c r="C24" s="85"/>
      <c r="D24" s="86"/>
      <c r="E24" s="86"/>
    </row>
    <row r="25" ht="16" customHeight="1">
      <c r="A25" t="s" s="77">
        <v>36</v>
      </c>
      <c r="B25" s="88">
        <v>375708</v>
      </c>
      <c r="C25" s="85"/>
      <c r="D25" s="86"/>
      <c r="E25" s="86"/>
    </row>
    <row r="26" ht="16" customHeight="1">
      <c r="A26" t="s" s="77">
        <v>37</v>
      </c>
      <c r="B26" s="88">
        <v>367047</v>
      </c>
      <c r="C26" s="85"/>
      <c r="D26" s="86"/>
      <c r="E26" s="86"/>
    </row>
    <row r="27" ht="16" customHeight="1">
      <c r="A27" t="s" s="77">
        <v>38</v>
      </c>
      <c r="B27" s="88">
        <v>374578</v>
      </c>
      <c r="C27" s="85"/>
      <c r="D27" s="86"/>
      <c r="E27" s="86"/>
    </row>
    <row r="28" ht="16" customHeight="1">
      <c r="A28" t="s" s="77">
        <v>39</v>
      </c>
      <c r="B28" s="88">
        <v>369314</v>
      </c>
      <c r="C28" s="85"/>
      <c r="D28" s="86"/>
      <c r="E28" s="86"/>
    </row>
    <row r="29" ht="16" customHeight="1">
      <c r="A29" t="s" s="77">
        <v>40</v>
      </c>
      <c r="B29" s="88">
        <v>359314</v>
      </c>
      <c r="C29" s="85"/>
      <c r="D29" s="86"/>
      <c r="E29" s="8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